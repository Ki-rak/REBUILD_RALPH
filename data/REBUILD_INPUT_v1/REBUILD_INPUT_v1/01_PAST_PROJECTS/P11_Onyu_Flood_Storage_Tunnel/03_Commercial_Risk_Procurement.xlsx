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68814857c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b991d492e44eca"/>
    <x:sheet xmlns:r="http://schemas.openxmlformats.org/officeDocument/2006/relationships" name="Cost" sheetId="2" r:id="Rf679a20d0b39404a"/>
    <x:sheet xmlns:r="http://schemas.openxmlformats.org/officeDocument/2006/relationships" name="Risk" sheetId="3" r:id="R6297b4c55cbb4fd3"/>
    <x:sheet xmlns:r="http://schemas.openxmlformats.org/officeDocument/2006/relationships" name="Procurement" sheetId="4" r:id="R2d88a75b977b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7b4819b694e38" /><Relationship Type="http://schemas.openxmlformats.org/officeDocument/2006/relationships/theme" Target="/xl/theme/theme1.xml" Id="Re3f89baab0944231" /><Relationship Type="http://schemas.openxmlformats.org/officeDocument/2006/relationships/sharedStrings" Target="/xl/sharedStrings.xml" Id="Rf6104e0c3eb84c64" /><Relationship Type="http://schemas.openxmlformats.org/officeDocument/2006/relationships/worksheet" Target="/xl/worksheets/sheet1.xml" Id="R89b991d492e44eca" /><Relationship Type="http://schemas.openxmlformats.org/officeDocument/2006/relationships/worksheet" Target="/xl/worksheets/sheet2.xml" Id="Rf679a20d0b39404a" /><Relationship Type="http://schemas.openxmlformats.org/officeDocument/2006/relationships/worksheet" Target="/xl/worksheets/sheet3.xml" Id="R6297b4c55cbb4fd3" /><Relationship Type="http://schemas.openxmlformats.org/officeDocument/2006/relationships/worksheet" Target="/xl/worksheets/sheet4.xml" Id="R2d88a75b977b46f9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EUR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b2ae7648b43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1ab3975da244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1ebe73feff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c95bdd99b24b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P11 원가 및 위험 관리</x:v>
      </x:c>
      <x:c r="B2" s="1"/>
      <x:c r="C2" s="1"/>
    </x:row>
    <x:row r="3">
      <x:c r="A3" s="3" t="str">
        <x:v>P11-COM-001 | SYNTHETIC | Rev01 | 2022-09-23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264</x:v>
      </x:c>
      <x:c r="C6" s="11" t="str">
        <x:v>EUR million / JV 전체</x:v>
      </x:c>
    </x:row>
    <x:row r="7" ht="36" customHeight="1">
      <x:c r="A7" s="10" t="str">
        <x:v>당사 지분</x:v>
      </x:c>
      <x:c r="B7" s="12" t="n">
        <x:v>0.55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145.20000000000002</x:v>
      </x:c>
      <x:c r="C8" s="11" t="str">
        <x:v>EUR million</x:v>
      </x:c>
    </x:row>
    <x:row r="9" ht="36" customHeight="1">
      <x:c r="A9" s="10" t="str">
        <x:v>실행예산</x:v>
      </x:c>
      <x:c r="B9" s="10" t="n">
        <x:f>'Cost'!F16</x:f>
        <x:v>232.32</x:v>
      </x:c>
      <x:c r="C9" s="10" t="str">
        <x:v>EUR million / 신규는 검토용 가정</x:v>
      </x:c>
    </x:row>
    <x:row r="10" ht="36" customHeight="1">
      <x:c r="A10" s="11" t="str">
        <x:v>최종원가</x:v>
      </x:c>
      <x:c r="B10" s="11" t="n">
        <x:f>'Cost'!G16</x:f>
        <x:v>237.42000000000002</x:v>
      </x:c>
      <x:c r="C10" s="11" t="str">
        <x:v>EUR million</x:v>
      </x:c>
    </x:row>
    <x:row r="11" ht="36" customHeight="1">
      <x:c r="A11" s="10" t="str">
        <x:v>승인 변경금액</x:v>
      </x:c>
      <x:c r="B11" s="10" t="n">
        <x:v>2.2</x:v>
      </x:c>
      <x:c r="C11" s="10" t="str">
        <x:v>EUR million</x:v>
      </x:c>
    </x:row>
    <x:row r="12" ht="36" customHeight="1">
      <x:c r="A12" s="11" t="str">
        <x:v>최종 계약수입</x:v>
      </x:c>
      <x:c r="B12" s="11" t="n">
        <x:f>SUM(B6,B11)</x:f>
        <x:v>266.2</x:v>
      </x:c>
      <x:c r="C12" s="11" t="str">
        <x:v>EUR million</x:v>
      </x:c>
    </x:row>
    <x:row r="13" ht="36" customHeight="1">
      <x:c r="A13" s="10" t="str">
        <x:v>지체상금 공제</x:v>
      </x:c>
      <x:c r="B13" s="10" t="n">
        <x:v>0.264</x:v>
      </x:c>
      <x:c r="C13" s="10" t="str">
        <x:v>EUR million</x:v>
      </x:c>
    </x:row>
    <x:row r="14" ht="36" customHeight="1">
      <x:c r="A14" s="11" t="str">
        <x:v>공제 후 잔여</x:v>
      </x:c>
      <x:c r="B14" s="11" t="n">
        <x:f>B12-B10-B13</x:f>
        <x:v>28.515999999999973</x:v>
      </x:c>
      <x:c r="C14" s="11" t="str">
        <x:v>세금·금융비용 전 / EUR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41ab2ae7648b43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P11 공종별 원가 (EUR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13.94</x:v>
      </x:c>
      <x:c r="F6" s="13" t="n">
        <x:f>ROUND(C6*E6,2)</x:f>
        <x:v>13.94</x:v>
      </x:c>
      <x:c r="G6" s="13" t="n">
        <x:v>13.94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40</x:v>
      </x:c>
      <x:c r="D7" s="10" t="str">
        <x:v>month</x:v>
      </x:c>
      <x:c r="E7" s="17" t="n">
        <x:v>0.52275</x:v>
      </x:c>
      <x:c r="F7" s="14" t="n">
        <x:f>ROUND(C7*E7,2)</x:f>
        <x:v>20.91</x:v>
      </x:c>
      <x:c r="G7" s="14" t="n">
        <x:v>20.91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저류터널 굴착</x:v>
      </x:c>
      <x:c r="C8" s="18" t="n">
        <x:v>295000</x:v>
      </x:c>
      <x:c r="D8" s="11" t="str">
        <x:v>m3</x:v>
      </x:c>
      <x:c r="E8" s="16" t="n">
        <x:v>0.00014176271186440678</x:v>
      </x:c>
      <x:c r="F8" s="13" t="n">
        <x:f>ROUND(C8*E8,2)</x:f>
        <x:v>41.82</x:v>
      </x:c>
      <x:c r="G8" s="13" t="n">
        <x:v>46.92</x:v>
      </x:c>
      <x:c r="H8" s="13" t="n">
        <x:f>G8-F8</x:f>
        <x:v>5.100000000000001</x:v>
      </x:c>
    </x:row>
    <x:row r="9" ht="36" customHeight="1">
      <x:c r="A9" s="10" t="str">
        <x:v>W04</x:v>
      </x:c>
      <x:c r="B9" s="10" t="str">
        <x:v>세그먼트 및 수직구</x:v>
      </x:c>
      <x:c r="C9" s="19" t="n">
        <x:v>84000</x:v>
      </x:c>
      <x:c r="D9" s="10" t="str">
        <x:v>m3</x:v>
      </x:c>
      <x:c r="E9" s="17" t="n">
        <x:v>0.0006914285714285715</x:v>
      </x:c>
      <x:c r="F9" s="14" t="n">
        <x:f>ROUND(C9*E9,2)</x:f>
        <x:v>58.08</x:v>
      </x:c>
      <x:c r="G9" s="14" t="n">
        <x:v>58.08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30</x:v>
      </x:c>
      <x:c r="D10" s="11" t="str">
        <x:v>set</x:v>
      </x:c>
      <x:c r="E10" s="16" t="n">
        <x:v>0.852</x:v>
      </x:c>
      <x:c r="F10" s="13" t="n">
        <x:f>ROUND(C10*E10,2)</x:f>
        <x:v>25.56</x:v>
      </x:c>
      <x:c r="G10" s="13" t="n">
        <x:v>25.56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210</x:v>
      </x:c>
      <x:c r="D11" s="10" t="str">
        <x:v>point</x:v>
      </x:c>
      <x:c r="E11" s="17" t="n">
        <x:v>0.08852380952380952</x:v>
      </x:c>
      <x:c r="F11" s="14" t="n">
        <x:f>ROUND(C11*E11,2)</x:f>
        <x:v>18.59</x:v>
      </x:c>
      <x:c r="G11" s="14" t="n">
        <x:v>18.59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32</x:v>
      </x:c>
      <x:c r="D12" s="11" t="str">
        <x:v>location</x:v>
      </x:c>
      <x:c r="E12" s="16" t="n">
        <x:v>0.508125</x:v>
      </x:c>
      <x:c r="F12" s="13" t="n">
        <x:f>ROUND(C12*E12,2)</x:f>
        <x:v>16.26</x:v>
      </x:c>
      <x:c r="G12" s="13" t="n">
        <x:v>16.26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61000</x:v>
      </x:c>
      <x:c r="D13" s="10" t="str">
        <x:v>m2</x:v>
      </x:c>
      <x:c r="E13" s="17" t="n">
        <x:v>0.0001522950819672131</x:v>
      </x:c>
      <x:c r="F13" s="14" t="n">
        <x:f>ROUND(C13*E13,2)</x:f>
        <x:v>9.29</x:v>
      </x:c>
      <x:c r="G13" s="14" t="n">
        <x:v>9.29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40</x:v>
      </x:c>
      <x:c r="D14" s="11" t="str">
        <x:v>month</x:v>
      </x:c>
      <x:c r="E14" s="16" t="n">
        <x:v>0.46475</x:v>
      </x:c>
      <x:c r="F14" s="13" t="n">
        <x:f>ROUND(C14*E14,2)</x:f>
        <x:v>18.59</x:v>
      </x:c>
      <x:c r="G14" s="13" t="n">
        <x:v>18.59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9.28</x:v>
      </x:c>
      <x:c r="F15" s="14" t="n">
        <x:f>ROUND(C15*E15,2)</x:f>
        <x:v>9.28</x:v>
      </x:c>
      <x:c r="G15" s="14" t="n">
        <x:v>9.28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232.32</x:v>
      </x:c>
      <x:c r="G16" s="15" t="n">
        <x:f>SUM(G6:G15)</x:f>
        <x:v>237.42000000000002</x:v>
      </x:c>
      <x:c r="H16" s="15" t="n">
        <x:f>G16-F16</x:f>
        <x:v>5.100000000000023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cb1ab3975da244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P11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P11-RISK-001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(EUR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P11-R01</x:v>
      </x:c>
      <x:c r="B6" s="11" t="str">
        <x:v>인접 건물 침하와 배수 제한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5.1</x:v>
      </x:c>
      <x:c r="H6" s="11" t="n">
        <x:v>26</x:v>
      </x:c>
      <x:c r="I6" s="11" t="str">
        <x:v>종결</x:v>
      </x:c>
      <x:c r="J6" s="11" t="str">
        <x:v>차수 보강과 재주입 시험을 시행하고 계측 추세 검토 후 단계적으로 굴착을 재개했다.</x:v>
      </x:c>
      <x:c r="K6" s="11" t="str">
        <x:v>P11-BRF-001 / P11-LL01</x:v>
      </x:c>
    </x:row>
    <x:row r="7" ht="65" customHeight="1">
      <x:c r="A7" s="10" t="str">
        <x:v>P11-R02</x:v>
      </x:c>
      <x:c r="B7" s="10" t="str">
        <x:v>야간 계측경보 전달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계측 경보 수신 확인과 교대 인수인계를 운영 절차에 포함한다.</x:v>
      </x:c>
      <x:c r="K7" s="10" t="str">
        <x:v>P11-BRF-001 / P11-LL02</x:v>
      </x:c>
    </x:row>
    <x:row r="8" ht="65" customHeight="1">
      <x:c r="A8" s="11" t="str">
        <x:v>P11-R03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P11-BRF-001 / P11-LL03</x:v>
      </x:c>
    </x:row>
    <x:row r="9" ht="65" customHeight="1">
      <x:c r="A9" s="10" t="str">
        <x:v>P11-R04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P11-BRF-001 / P11-LL03</x:v>
      </x:c>
    </x:row>
    <x:row r="10" ht="65" customHeight="1">
      <x:c r="A10" s="11" t="str">
        <x:v>P11-R05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P11-BRF-001 / P11-LL03</x:v>
      </x:c>
    </x:row>
    <x:row r="11" ht="65" customHeight="1">
      <x:c r="A11" s="10" t="str">
        <x:v>P11-R06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P11-BRF-001 / P11-LL03</x:v>
      </x:c>
    </x:row>
    <x:row r="12" ht="65" customHeight="1">
      <x:c r="A12" s="11" t="str">
        <x:v>P11-R07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P11-BRF-001 / P11-LL03</x:v>
      </x:c>
    </x:row>
    <x:row r="13" ht="65" customHeight="1">
      <x:c r="A13" s="10" t="str">
        <x:v>P11-R08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P11-BRF-001 / P11-LL03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71ebe73feff44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P11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P11-PO01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인수완료</x:v>
      </x:c>
    </x:row>
    <x:row r="7" ht="36" customHeight="1">
      <x:c r="A7" s="10" t="str">
        <x:v>P11-PO02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인수완료</x:v>
      </x:c>
    </x:row>
    <x:row r="8" ht="36" customHeight="1">
      <x:c r="A8" s="11" t="str">
        <x:v>P11-PO03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인수완료</x:v>
      </x:c>
    </x:row>
    <x:row r="9" ht="36" customHeight="1">
      <x:c r="A9" s="10" t="str">
        <x:v>P11-PO04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인수완료</x:v>
      </x:c>
    </x:row>
    <x:row r="10" ht="36" customHeight="1">
      <x:c r="A10" s="11" t="str">
        <x:v>P11-PO05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인수완료</x:v>
      </x:c>
    </x:row>
    <x:row r="11" ht="36" customHeight="1">
      <x:c r="A11" s="10" t="str">
        <x:v>P11-PO06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1ac95bdd99b24ba3"/>
  </x:tableParts>
</x:worksheet>
</file>