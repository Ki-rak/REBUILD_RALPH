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7f5990eb4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c5deb164e34e66"/>
    <x:sheet xmlns:r="http://schemas.openxmlformats.org/officeDocument/2006/relationships" name="Cost" sheetId="2" r:id="R22e291239bb248dc"/>
    <x:sheet xmlns:r="http://schemas.openxmlformats.org/officeDocument/2006/relationships" name="Risk" sheetId="3" r:id="R7ada21429ba445b1"/>
    <x:sheet xmlns:r="http://schemas.openxmlformats.org/officeDocument/2006/relationships" name="Procurement" sheetId="4" r:id="R80455a289b08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63cbadf834ac9" /><Relationship Type="http://schemas.openxmlformats.org/officeDocument/2006/relationships/theme" Target="/xl/theme/theme1.xml" Id="R0ab96c7649f24bc4" /><Relationship Type="http://schemas.openxmlformats.org/officeDocument/2006/relationships/sharedStrings" Target="/xl/sharedStrings.xml" Id="Rd5b13a71947c4673" /><Relationship Type="http://schemas.openxmlformats.org/officeDocument/2006/relationships/worksheet" Target="/xl/worksheets/sheet1.xml" Id="Rd0c5deb164e34e66" /><Relationship Type="http://schemas.openxmlformats.org/officeDocument/2006/relationships/worksheet" Target="/xl/worksheets/sheet2.xml" Id="R22e291239bb248dc" /><Relationship Type="http://schemas.openxmlformats.org/officeDocument/2006/relationships/worksheet" Target="/xl/worksheets/sheet3.xml" Id="R7ada21429ba445b1" /><Relationship Type="http://schemas.openxmlformats.org/officeDocument/2006/relationships/worksheet" Target="/xl/worksheets/sheet4.xml" Id="R80455a289b084843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7d41f0b0264d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0a239189214a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d13cb510a040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dd30d493a84f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P06 원가 및 위험 관리</x:v>
      </x:c>
      <x:c r="B2" s="1"/>
      <x:c r="C2" s="1"/>
    </x:row>
    <x:row r="3">
      <x:c r="A3" s="3" t="str">
        <x:v>P06-COM-001 | SYNTHETIC | Rev01 | 2023-02-20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221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0.6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132.6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194.48000000000002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198.78000000000003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2.7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223.7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0.221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24.69899999999996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6a7d41f0b0264d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P06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11.67</x:v>
      </x:c>
      <x:c r="F6" s="13" t="n">
        <x:f>ROUND(C6*E6,2)</x:f>
        <x:v>11.67</x:v>
      </x:c>
      <x:c r="G6" s="13" t="n">
        <x:v>11.67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34</x:v>
      </x:c>
      <x:c r="D7" s="10" t="str">
        <x:v>month</x:v>
      </x:c>
      <x:c r="E7" s="17" t="n">
        <x:v>0.5147058823529411</x:v>
      </x:c>
      <x:c r="F7" s="14" t="n">
        <x:f>ROUND(C7*E7,2)</x:f>
        <x:v>17.5</x:v>
      </x:c>
      <x:c r="G7" s="14" t="n">
        <x:v>17.5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취수관 트렌치 굴착</x:v>
      </x:c>
      <x:c r="C8" s="18" t="n">
        <x:v>180000</x:v>
      </x:c>
      <x:c r="D8" s="11" t="str">
        <x:v>m3</x:v>
      </x:c>
      <x:c r="E8" s="16" t="n">
        <x:v>0.00019449999999999998</x:v>
      </x:c>
      <x:c r="F8" s="13" t="n">
        <x:f>ROUND(C8*E8,2)</x:f>
        <x:v>35.01</x:v>
      </x:c>
      <x:c r="G8" s="13" t="n">
        <x:v>35.01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취수구 및 펌프장</x:v>
      </x:c>
      <x:c r="C9" s="19" t="n">
        <x:v>56000</x:v>
      </x:c>
      <x:c r="D9" s="10" t="str">
        <x:v>m3</x:v>
      </x:c>
      <x:c r="E9" s="17" t="n">
        <x:v>0.0008682142857142856</x:v>
      </x:c>
      <x:c r="F9" s="14" t="n">
        <x:f>ROUND(C9*E9,2)</x:f>
        <x:v>48.62</x:v>
      </x:c>
      <x:c r="G9" s="14" t="n">
        <x:v>48.62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38</x:v>
      </x:c>
      <x:c r="D10" s="11" t="str">
        <x:v>set</x:v>
      </x:c>
      <x:c r="E10" s="16" t="n">
        <x:v>0.5628947368421052</x:v>
      </x:c>
      <x:c r="F10" s="13" t="n">
        <x:f>ROUND(C10*E10,2)</x:f>
        <x:v>21.39</x:v>
      </x:c>
      <x:c r="G10" s="13" t="n">
        <x:v>25.69</x:v>
      </x:c>
      <x:c r="H10" s="13" t="n">
        <x:f>G10-F10</x:f>
        <x:v>4.300000000000001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150</x:v>
      </x:c>
      <x:c r="D11" s="10" t="str">
        <x:v>point</x:v>
      </x:c>
      <x:c r="E11" s="17" t="n">
        <x:v>0.10373333333333333</x:v>
      </x:c>
      <x:c r="F11" s="14" t="n">
        <x:f>ROUND(C11*E11,2)</x:f>
        <x:v>15.56</x:v>
      </x:c>
      <x:c r="G11" s="14" t="n">
        <x:v>15.56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22</x:v>
      </x:c>
      <x:c r="D12" s="11" t="str">
        <x:v>location</x:v>
      </x:c>
      <x:c r="E12" s="16" t="n">
        <x:v>0.6186363636363637</x:v>
      </x:c>
      <x:c r="F12" s="13" t="n">
        <x:f>ROUND(C12*E12,2)</x:f>
        <x:v>13.61</x:v>
      </x:c>
      <x:c r="G12" s="13" t="n">
        <x:v>13.61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43500</x:v>
      </x:c>
      <x:c r="D13" s="10" t="str">
        <x:v>m2</x:v>
      </x:c>
      <x:c r="E13" s="17" t="n">
        <x:v>0.0001788505747126437</x:v>
      </x:c>
      <x:c r="F13" s="14" t="n">
        <x:f>ROUND(C13*E13,2)</x:f>
        <x:v>7.78</x:v>
      </x:c>
      <x:c r="G13" s="14" t="n">
        <x:v>7.78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34</x:v>
      </x:c>
      <x:c r="D14" s="11" t="str">
        <x:v>month</x:v>
      </x:c>
      <x:c r="E14" s="16" t="n">
        <x:v>0.4576470588235294</x:v>
      </x:c>
      <x:c r="F14" s="13" t="n">
        <x:f>ROUND(C14*E14,2)</x:f>
        <x:v>15.56</x:v>
      </x:c>
      <x:c r="G14" s="13" t="n">
        <x:v>15.56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7.78</x:v>
      </x:c>
      <x:c r="F15" s="14" t="n">
        <x:f>ROUND(C15*E15,2)</x:f>
        <x:v>7.78</x:v>
      </x:c>
      <x:c r="G15" s="14" t="n">
        <x:v>7.78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194.48000000000002</x:v>
      </x:c>
      <x:c r="G16" s="15" t="n">
        <x:f>SUM(G6:G15)</x:f>
        <x:v>198.78000000000003</x:v>
      </x:c>
      <x:c r="H16" s="15" t="n">
        <x:f>G16-F16</x:f>
        <x:v>4.300000000000011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510a239189214a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P06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P06-RISK-001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P06-R01</x:v>
      </x:c>
      <x:c r="B6" s="11" t="str">
        <x:v>염수 배수와 처리설비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4.3</x:v>
      </x:c>
      <x:c r="H6" s="11" t="n">
        <x:v>21</x:v>
      </x:c>
      <x:c r="I6" s="11" t="str">
        <x:v>종결</x:v>
      </x:c>
      <x:c r="J6" s="11" t="str">
        <x:v>내염성 펌프와 별도 저장조를 사용하고 임시처리 후 지정 방류지점으로 이송했다.</x:v>
      </x:c>
      <x:c r="K6" s="11" t="str">
        <x:v>P06-BRF-001 / P06-LL01</x:v>
      </x:c>
    </x:row>
    <x:row r="7" ht="65" customHeight="1">
      <x:c r="A7" s="10" t="str">
        <x:v>P06-R02</x:v>
      </x:c>
      <x:c r="B7" s="10" t="str">
        <x:v>취수펌프 도서 승인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승인도서 제출과 제작 착수의 선행조건을 구매 일정에 명시한다.</x:v>
      </x:c>
      <x:c r="K7" s="10" t="str">
        <x:v>P06-BRF-001 / P06-LL02</x:v>
      </x:c>
    </x:row>
    <x:row r="8" ht="65" customHeight="1">
      <x:c r="A8" s="11" t="str">
        <x:v>P06-R03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P06-BRF-001 / P06-LL03</x:v>
      </x:c>
    </x:row>
    <x:row r="9" ht="65" customHeight="1">
      <x:c r="A9" s="10" t="str">
        <x:v>P06-R04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P06-BRF-001 / P06-LL03</x:v>
      </x:c>
    </x:row>
    <x:row r="10" ht="65" customHeight="1">
      <x:c r="A10" s="11" t="str">
        <x:v>P06-R05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P06-BRF-001 / P06-LL03</x:v>
      </x:c>
    </x:row>
    <x:row r="11" ht="65" customHeight="1">
      <x:c r="A11" s="10" t="str">
        <x:v>P06-R06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P06-BRF-001 / P06-LL03</x:v>
      </x:c>
    </x:row>
    <x:row r="12" ht="65" customHeight="1">
      <x:c r="A12" s="11" t="str">
        <x:v>P06-R07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P06-BRF-001 / P06-LL03</x:v>
      </x:c>
    </x:row>
    <x:row r="13" ht="65" customHeight="1">
      <x:c r="A13" s="10" t="str">
        <x:v>P06-R08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P06-BRF-001 / P06-LL03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2d13cb510a0409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P06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P06-PO01</x:v>
      </x:c>
      <x:c r="B6" s="11" t="str">
        <x:v>배수펌프</x:v>
      </x:c>
      <x:c r="C6" s="11" t="str">
        <x:v>가상공급사 A</x:v>
      </x:c>
      <x:c r="D6" s="11" t="n">
        <x:v>16</x:v>
      </x:c>
      <x:c r="E6" s="11" t="n">
        <x:v>2</x:v>
      </x:c>
      <x:c r="F6" s="11" t="n">
        <x:f>SUM(D6:E6)</x:f>
        <x:v>18</x:v>
      </x:c>
      <x:c r="G6" s="11" t="str">
        <x:v>인수완료</x:v>
      </x:c>
    </x:row>
    <x:row r="7" ht="36" customHeight="1">
      <x:c r="A7" s="10" t="str">
        <x:v>P06-PO02</x:v>
      </x:c>
      <x:c r="B7" s="10" t="str">
        <x:v>주요 구조자재</x:v>
      </x:c>
      <x:c r="C7" s="10" t="str">
        <x:v>가상공급사 B</x:v>
      </x:c>
      <x:c r="D7" s="10" t="n">
        <x:v>20</x:v>
      </x:c>
      <x:c r="E7" s="10" t="n">
        <x:v>3</x:v>
      </x:c>
      <x:c r="F7" s="10" t="n">
        <x:f>SUM(D7:E7)</x:f>
        <x:v>23</x:v>
      </x:c>
      <x:c r="G7" s="10" t="str">
        <x:v>인수완료</x:v>
      </x:c>
    </x:row>
    <x:row r="8" ht="36" customHeight="1">
      <x:c r="A8" s="11" t="str">
        <x:v>P06-PO03</x:v>
      </x:c>
      <x:c r="B8" s="11" t="str">
        <x:v>계측장비</x:v>
      </x:c>
      <x:c r="C8" s="11" t="str">
        <x:v>가상공급사 C</x:v>
      </x:c>
      <x:c r="D8" s="11" t="n">
        <x:v>24</x:v>
      </x:c>
      <x:c r="E8" s="11" t="n">
        <x:v>4</x:v>
      </x:c>
      <x:c r="F8" s="11" t="n">
        <x:f>SUM(D8:E8)</x:f>
        <x:v>28</x:v>
      </x:c>
      <x:c r="G8" s="11" t="str">
        <x:v>인수완료</x:v>
      </x:c>
    </x:row>
    <x:row r="9" ht="36" customHeight="1">
      <x:c r="A9" s="10" t="str">
        <x:v>P06-PO04</x:v>
      </x:c>
      <x:c r="B9" s="10" t="str">
        <x:v>전력설비</x:v>
      </x:c>
      <x:c r="C9" s="10" t="str">
        <x:v>가상공급사 D</x:v>
      </x:c>
      <x:c r="D9" s="10" t="n">
        <x:v>28</x:v>
      </x:c>
      <x:c r="E9" s="10" t="n">
        <x:v>2</x:v>
      </x:c>
      <x:c r="F9" s="10" t="n">
        <x:f>SUM(D9:E9)</x:f>
        <x:v>30</x:v>
      </x:c>
      <x:c r="G9" s="10" t="str">
        <x:v>인수완료</x:v>
      </x:c>
    </x:row>
    <x:row r="10" ht="36" customHeight="1">
      <x:c r="A10" s="11" t="str">
        <x:v>P06-PO05</x:v>
      </x:c>
      <x:c r="B10" s="11" t="str">
        <x:v>처리설비</x:v>
      </x:c>
      <x:c r="C10" s="11" t="str">
        <x:v>가상공급사 E</x:v>
      </x:c>
      <x:c r="D10" s="11" t="n">
        <x:v>32</x:v>
      </x:c>
      <x:c r="E10" s="11" t="n">
        <x:v>3</x:v>
      </x:c>
      <x:c r="F10" s="11" t="n">
        <x:f>SUM(D10:E10)</x:f>
        <x:v>35</x:v>
      </x:c>
      <x:c r="G10" s="11" t="str">
        <x:v>인수완료</x:v>
      </x:c>
    </x:row>
    <x:row r="11" ht="36" customHeight="1">
      <x:c r="A11" s="10" t="str">
        <x:v>P06-PO06</x:v>
      </x:c>
      <x:c r="B11" s="10" t="str">
        <x:v>예비품</x:v>
      </x:c>
      <x:c r="C11" s="10" t="str">
        <x:v>가상공급사 F</x:v>
      </x:c>
      <x:c r="D11" s="10" t="n">
        <x:v>36</x:v>
      </x:c>
      <x:c r="E11" s="10" t="n">
        <x:v>4</x:v>
      </x:c>
      <x:c r="F11" s="10" t="n">
        <x:f>SUM(D11:E11)</x:f>
        <x:v>40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1ddd30d493a84ff0"/>
  </x:tableParts>
</x:worksheet>
</file>