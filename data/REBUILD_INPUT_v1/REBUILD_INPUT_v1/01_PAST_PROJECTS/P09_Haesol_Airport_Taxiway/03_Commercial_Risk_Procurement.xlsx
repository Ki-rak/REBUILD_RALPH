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8905e7218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148e898f6e4fe2"/>
    <x:sheet xmlns:r="http://schemas.openxmlformats.org/officeDocument/2006/relationships" name="Cost" sheetId="2" r:id="Rd883bb1a703045c8"/>
    <x:sheet xmlns:r="http://schemas.openxmlformats.org/officeDocument/2006/relationships" name="Risk" sheetId="3" r:id="Reb1416ed87364eb6"/>
    <x:sheet xmlns:r="http://schemas.openxmlformats.org/officeDocument/2006/relationships" name="Procurement" sheetId="4" r:id="R3da27469bcd1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8b1c613a44bd9" /><Relationship Type="http://schemas.openxmlformats.org/officeDocument/2006/relationships/theme" Target="/xl/theme/theme1.xml" Id="Rdd0a9272767f4770" /><Relationship Type="http://schemas.openxmlformats.org/officeDocument/2006/relationships/sharedStrings" Target="/xl/sharedStrings.xml" Id="Rfe505af67c824b8c" /><Relationship Type="http://schemas.openxmlformats.org/officeDocument/2006/relationships/worksheet" Target="/xl/worksheets/sheet1.xml" Id="R59148e898f6e4fe2" /><Relationship Type="http://schemas.openxmlformats.org/officeDocument/2006/relationships/worksheet" Target="/xl/worksheets/sheet2.xml" Id="Rd883bb1a703045c8" /><Relationship Type="http://schemas.openxmlformats.org/officeDocument/2006/relationships/worksheet" Target="/xl/worksheets/sheet3.xml" Id="Reb1416ed87364eb6" /><Relationship Type="http://schemas.openxmlformats.org/officeDocument/2006/relationships/worksheet" Target="/xl/worksheets/sheet4.xml" Id="R3da27469bcd148c2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89af5c990947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e794c78a344e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470ca7139d45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51f052d3cd4435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P09 원가 및 위험 관리</x:v>
      </x:c>
      <x:c r="B2" s="1"/>
      <x:c r="C2" s="1"/>
    </x:row>
    <x:row r="3">
      <x:c r="A3" s="3" t="str">
        <x:v>P09-COM-001 | SYNTHETIC | Rev01 | 2019-04-18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154</x:v>
      </x:c>
      <x:c r="C6" s="11" t="str">
        <x:v>USD million / JV 전체</x:v>
      </x:c>
    </x:row>
    <x:row r="7" ht="36" customHeight="1">
      <x:c r="A7" s="10" t="str">
        <x:v>당사 지분</x:v>
      </x:c>
      <x:c r="B7" s="12" t="n">
        <x:v>0.5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77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135.51999999999998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n">
        <x:f>'Cost'!G16</x:f>
        <x:v>138.01999999999998</x:v>
      </x:c>
      <x:c r="C10" s="11" t="str">
        <x:v>USD million</x:v>
      </x:c>
    </x:row>
    <x:row r="11" ht="36" customHeight="1">
      <x:c r="A11" s="10" t="str">
        <x:v>승인 변경금액</x:v>
      </x:c>
      <x:c r="B11" s="10" t="n">
        <x:v>0.9</x:v>
      </x:c>
      <x:c r="C11" s="10" t="str">
        <x:v>USD million</x:v>
      </x:c>
    </x:row>
    <x:row r="12" ht="36" customHeight="1">
      <x:c r="A12" s="11" t="str">
        <x:v>최종 계약수입</x:v>
      </x:c>
      <x:c r="B12" s="11" t="n">
        <x:f>SUM(B6,B11)</x:f>
        <x:v>154.9</x:v>
      </x:c>
      <x:c r="C12" s="11" t="str">
        <x:v>USD million</x:v>
      </x:c>
    </x:row>
    <x:row r="13" ht="36" customHeight="1">
      <x:c r="A13" s="10" t="str">
        <x:v>지체상금 공제</x:v>
      </x:c>
      <x:c r="B13" s="10" t="n">
        <x:v>0.385</x:v>
      </x:c>
      <x:c r="C13" s="10" t="str">
        <x:v>USD million</x:v>
      </x:c>
    </x:row>
    <x:row r="14" ht="36" customHeight="1">
      <x:c r="A14" s="11" t="str">
        <x:v>공제 후 잔여</x:v>
      </x:c>
      <x:c r="B14" s="11" t="n">
        <x:f>B12-B10-B13</x:f>
        <x:v>16.495000000000022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a189af5c9909476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P09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8.13</x:v>
      </x:c>
      <x:c r="F6" s="13" t="n">
        <x:f>ROUND(C6*E6,2)</x:f>
        <x:v>8.13</x:v>
      </x:c>
      <x:c r="G6" s="13" t="n">
        <x:v>8.13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25</x:v>
      </x:c>
      <x:c r="D7" s="10" t="str">
        <x:v>month</x:v>
      </x:c>
      <x:c r="E7" s="17" t="n">
        <x:v>0.488</x:v>
      </x:c>
      <x:c r="F7" s="14" t="n">
        <x:f>ROUND(C7*E7,2)</x:f>
        <x:v>12.2</x:v>
      </x:c>
      <x:c r="G7" s="14" t="n">
        <x:v>14.7</x:v>
      </x:c>
      <x:c r="H7" s="14" t="n">
        <x:f>G7-F7</x:f>
        <x:v>2.5</x:v>
      </x:c>
    </x:row>
    <x:row r="8" ht="36" customHeight="1">
      <x:c r="A8" s="11" t="str">
        <x:v>W03</x:v>
      </x:c>
      <x:c r="B8" s="11" t="str">
        <x:v>노상 및 지반개량</x:v>
      </x:c>
      <x:c r="C8" s="18" t="n">
        <x:v>410000</x:v>
      </x:c>
      <x:c r="D8" s="11" t="str">
        <x:v>m3</x:v>
      </x:c>
      <x:c r="E8" s="16" t="n">
        <x:v>0.00005948780487804878</x:v>
      </x:c>
      <x:c r="F8" s="13" t="n">
        <x:f>ROUND(C8*E8,2)</x:f>
        <x:v>24.39</x:v>
      </x:c>
      <x:c r="G8" s="13" t="n">
        <x:v>24.39</x:v>
      </x:c>
      <x:c r="H8" s="13" t="n">
        <x:f>G8-F8</x:f>
        <x:v>0</x:v>
      </x:c>
    </x:row>
    <x:row r="9" ht="36" customHeight="1">
      <x:c r="A9" s="10" t="str">
        <x:v>W04</x:v>
      </x:c>
      <x:c r="B9" s="10" t="str">
        <x:v>콘크리트 포장</x:v>
      </x:c>
      <x:c r="C9" s="19" t="n">
        <x:v>68000</x:v>
      </x:c>
      <x:c r="D9" s="10" t="str">
        <x:v>m3</x:v>
      </x:c>
      <x:c r="E9" s="17" t="n">
        <x:v>0.0004982352941176471</x:v>
      </x:c>
      <x:c r="F9" s="14" t="n">
        <x:f>ROUND(C9*E9,2)</x:f>
        <x:v>33.88</x:v>
      </x:c>
      <x:c r="G9" s="14" t="n">
        <x:v>33.88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22</x:v>
      </x:c>
      <x:c r="D10" s="11" t="str">
        <x:v>set</x:v>
      </x:c>
      <x:c r="E10" s="16" t="n">
        <x:v>0.6777272727272727</x:v>
      </x:c>
      <x:c r="F10" s="13" t="n">
        <x:f>ROUND(C10*E10,2)</x:f>
        <x:v>14.91</x:v>
      </x:c>
      <x:c r="G10" s="13" t="n">
        <x:v>14.91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186</x:v>
      </x:c>
      <x:c r="D11" s="10" t="str">
        <x:v>point</x:v>
      </x:c>
      <x:c r="E11" s="17" t="n">
        <x:v>0.05827956989247312</x:v>
      </x:c>
      <x:c r="F11" s="14" t="n">
        <x:f>ROUND(C11*E11,2)</x:f>
        <x:v>10.84</x:v>
      </x:c>
      <x:c r="G11" s="14" t="n">
        <x:v>10.84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28</x:v>
      </x:c>
      <x:c r="D12" s="11" t="str">
        <x:v>location</x:v>
      </x:c>
      <x:c r="E12" s="16" t="n">
        <x:v>0.3389285714285714</x:v>
      </x:c>
      <x:c r="F12" s="13" t="n">
        <x:f>ROUND(C12*E12,2)</x:f>
        <x:v>9.49</x:v>
      </x:c>
      <x:c r="G12" s="13" t="n">
        <x:v>9.49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54000</x:v>
      </x:c>
      <x:c r="D13" s="10" t="str">
        <x:v>m2</x:v>
      </x:c>
      <x:c r="E13" s="17" t="n">
        <x:v>0.00010037037037037038</x:v>
      </x:c>
      <x:c r="F13" s="14" t="n">
        <x:f>ROUND(C13*E13,2)</x:f>
        <x:v>5.42</x:v>
      </x:c>
      <x:c r="G13" s="14" t="n">
        <x:v>5.42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25</x:v>
      </x:c>
      <x:c r="D14" s="11" t="str">
        <x:v>month</x:v>
      </x:c>
      <x:c r="E14" s="16" t="n">
        <x:v>0.4336</x:v>
      </x:c>
      <x:c r="F14" s="13" t="n">
        <x:f>ROUND(C14*E14,2)</x:f>
        <x:v>10.84</x:v>
      </x:c>
      <x:c r="G14" s="13" t="n">
        <x:v>10.84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5.42</x:v>
      </x:c>
      <x:c r="F15" s="14" t="n">
        <x:f>ROUND(C15*E15,2)</x:f>
        <x:v>5.42</x:v>
      </x:c>
      <x:c r="G15" s="14" t="n">
        <x:v>5.42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135.51999999999998</x:v>
      </x:c>
      <x:c r="G16" s="15" t="n">
        <x:f>SUM(G6:G15)</x:f>
        <x:v>138.01999999999998</x:v>
      </x:c>
      <x:c r="H16" s="15" t="n">
        <x:f>G16-F16</x:f>
        <x:v>2.5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34e794c78a344e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P09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P09-RISK-001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P09-R01</x:v>
      </x:c>
      <x:c r="B6" s="11" t="str">
        <x:v>운영 공항 작업창 축소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2.5</x:v>
      </x:c>
      <x:c r="H6" s="11" t="n">
        <x:v>11</x:v>
      </x:c>
      <x:c r="I6" s="11" t="str">
        <x:v>종결</x:v>
      </x:c>
      <x:c r="J6" s="11" t="str">
        <x:v>구간별 조기강도 확인 후 개방하고 매일 작업허가와 장비 철수 확인서를 발행했다.</x:v>
      </x:c>
      <x:c r="K6" s="11" t="str">
        <x:v>P09-BRF-001 / P09-LL01</x:v>
      </x:c>
    </x:row>
    <x:row r="7" ht="65" customHeight="1">
      <x:c r="A7" s="10" t="str">
        <x:v>P09-R02</x:v>
      </x:c>
      <x:c r="B7" s="10" t="str">
        <x:v>접속함 염해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설비의 내염 사양과 검사 기록을 구매 단계에서 확인한다.</x:v>
      </x:c>
      <x:c r="K7" s="10" t="str">
        <x:v>P09-BRF-001 / P09-LL02</x:v>
      </x:c>
    </x:row>
    <x:row r="8" ht="65" customHeight="1">
      <x:c r="A8" s="11" t="str">
        <x:v>P09-R03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P09-BRF-001 / P09-LL03</x:v>
      </x:c>
    </x:row>
    <x:row r="9" ht="65" customHeight="1">
      <x:c r="A9" s="10" t="str">
        <x:v>P09-R04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P09-BRF-001 / P09-LL03</x:v>
      </x:c>
    </x:row>
    <x:row r="10" ht="65" customHeight="1">
      <x:c r="A10" s="11" t="str">
        <x:v>P09-R05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P09-BRF-001 / P09-LL03</x:v>
      </x:c>
    </x:row>
    <x:row r="11" ht="65" customHeight="1">
      <x:c r="A11" s="10" t="str">
        <x:v>P09-R06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P09-BRF-001 / P09-LL03</x:v>
      </x:c>
    </x:row>
    <x:row r="12" ht="65" customHeight="1">
      <x:c r="A12" s="11" t="str">
        <x:v>P09-R07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P09-BRF-001 / P09-LL03</x:v>
      </x:c>
    </x:row>
    <x:row r="13" ht="65" customHeight="1">
      <x:c r="A13" s="10" t="str">
        <x:v>P09-R08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P09-BRF-001 / P09-LL03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c470ca7139d45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P09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P09-PO01</x:v>
      </x:c>
      <x:c r="B6" s="11" t="str">
        <x:v>배수펌프</x:v>
      </x:c>
      <x:c r="C6" s="11" t="str">
        <x:v>가상공급사 A</x:v>
      </x:c>
      <x:c r="D6" s="11" t="n">
        <x:v>16</x:v>
      </x:c>
      <x:c r="E6" s="11" t="n">
        <x:v>2</x:v>
      </x:c>
      <x:c r="F6" s="11" t="n">
        <x:f>SUM(D6:E6)</x:f>
        <x:v>18</x:v>
      </x:c>
      <x:c r="G6" s="11" t="str">
        <x:v>인수완료</x:v>
      </x:c>
    </x:row>
    <x:row r="7" ht="36" customHeight="1">
      <x:c r="A7" s="10" t="str">
        <x:v>P09-PO02</x:v>
      </x:c>
      <x:c r="B7" s="10" t="str">
        <x:v>주요 구조자재</x:v>
      </x:c>
      <x:c r="C7" s="10" t="str">
        <x:v>가상공급사 B</x:v>
      </x:c>
      <x:c r="D7" s="10" t="n">
        <x:v>20</x:v>
      </x:c>
      <x:c r="E7" s="10" t="n">
        <x:v>3</x:v>
      </x:c>
      <x:c r="F7" s="10" t="n">
        <x:f>SUM(D7:E7)</x:f>
        <x:v>23</x:v>
      </x:c>
      <x:c r="G7" s="10" t="str">
        <x:v>인수완료</x:v>
      </x:c>
    </x:row>
    <x:row r="8" ht="36" customHeight="1">
      <x:c r="A8" s="11" t="str">
        <x:v>P09-PO03</x:v>
      </x:c>
      <x:c r="B8" s="11" t="str">
        <x:v>계측장비</x:v>
      </x:c>
      <x:c r="C8" s="11" t="str">
        <x:v>가상공급사 C</x:v>
      </x:c>
      <x:c r="D8" s="11" t="n">
        <x:v>24</x:v>
      </x:c>
      <x:c r="E8" s="11" t="n">
        <x:v>4</x:v>
      </x:c>
      <x:c r="F8" s="11" t="n">
        <x:f>SUM(D8:E8)</x:f>
        <x:v>28</x:v>
      </x:c>
      <x:c r="G8" s="11" t="str">
        <x:v>인수완료</x:v>
      </x:c>
    </x:row>
    <x:row r="9" ht="36" customHeight="1">
      <x:c r="A9" s="10" t="str">
        <x:v>P09-PO04</x:v>
      </x:c>
      <x:c r="B9" s="10" t="str">
        <x:v>전력설비</x:v>
      </x:c>
      <x:c r="C9" s="10" t="str">
        <x:v>가상공급사 D</x:v>
      </x:c>
      <x:c r="D9" s="10" t="n">
        <x:v>28</x:v>
      </x:c>
      <x:c r="E9" s="10" t="n">
        <x:v>2</x:v>
      </x:c>
      <x:c r="F9" s="10" t="n">
        <x:f>SUM(D9:E9)</x:f>
        <x:v>30</x:v>
      </x:c>
      <x:c r="G9" s="10" t="str">
        <x:v>인수완료</x:v>
      </x:c>
    </x:row>
    <x:row r="10" ht="36" customHeight="1">
      <x:c r="A10" s="11" t="str">
        <x:v>P09-PO05</x:v>
      </x:c>
      <x:c r="B10" s="11" t="str">
        <x:v>처리설비</x:v>
      </x:c>
      <x:c r="C10" s="11" t="str">
        <x:v>가상공급사 E</x:v>
      </x:c>
      <x:c r="D10" s="11" t="n">
        <x:v>32</x:v>
      </x:c>
      <x:c r="E10" s="11" t="n">
        <x:v>3</x:v>
      </x:c>
      <x:c r="F10" s="11" t="n">
        <x:f>SUM(D10:E10)</x:f>
        <x:v>35</x:v>
      </x:c>
      <x:c r="G10" s="11" t="str">
        <x:v>인수완료</x:v>
      </x:c>
    </x:row>
    <x:row r="11" ht="36" customHeight="1">
      <x:c r="A11" s="10" t="str">
        <x:v>P09-PO06</x:v>
      </x:c>
      <x:c r="B11" s="10" t="str">
        <x:v>예비품</x:v>
      </x:c>
      <x:c r="C11" s="10" t="str">
        <x:v>가상공급사 F</x:v>
      </x:c>
      <x:c r="D11" s="10" t="n">
        <x:v>36</x:v>
      </x:c>
      <x:c r="E11" s="10" t="n">
        <x:v>4</x:v>
      </x:c>
      <x:c r="F11" s="10" t="n">
        <x:f>SUM(D11:E11)</x:f>
        <x:v>40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f51f052d3cd44358"/>
  </x:tableParts>
</x:worksheet>
</file>