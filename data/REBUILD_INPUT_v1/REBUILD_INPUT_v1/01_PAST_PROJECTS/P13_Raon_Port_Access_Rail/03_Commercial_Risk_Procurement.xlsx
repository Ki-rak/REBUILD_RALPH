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3f6bb49e2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a5625b384e42ca"/>
    <x:sheet xmlns:r="http://schemas.openxmlformats.org/officeDocument/2006/relationships" name="Cost" sheetId="2" r:id="R408ce16f166b4414"/>
    <x:sheet xmlns:r="http://schemas.openxmlformats.org/officeDocument/2006/relationships" name="Risk" sheetId="3" r:id="R7e7a73db6c1f4273"/>
    <x:sheet xmlns:r="http://schemas.openxmlformats.org/officeDocument/2006/relationships" name="Procurement" sheetId="4" r:id="R1c81d40ca0c7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8d9a9929f468d" /><Relationship Type="http://schemas.openxmlformats.org/officeDocument/2006/relationships/theme" Target="/xl/theme/theme1.xml" Id="R1522309354f14380" /><Relationship Type="http://schemas.openxmlformats.org/officeDocument/2006/relationships/sharedStrings" Target="/xl/sharedStrings.xml" Id="Rf0833bd11009491f" /><Relationship Type="http://schemas.openxmlformats.org/officeDocument/2006/relationships/worksheet" Target="/xl/worksheets/sheet1.xml" Id="Rdda5625b384e42ca" /><Relationship Type="http://schemas.openxmlformats.org/officeDocument/2006/relationships/worksheet" Target="/xl/worksheets/sheet2.xml" Id="R408ce16f166b4414" /><Relationship Type="http://schemas.openxmlformats.org/officeDocument/2006/relationships/worksheet" Target="/xl/worksheets/sheet3.xml" Id="R7e7a73db6c1f4273" /><Relationship Type="http://schemas.openxmlformats.org/officeDocument/2006/relationships/worksheet" Target="/xl/worksheets/sheet4.xml" Id="R1c81d40ca0c7437e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a7100554614b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327c554e1d45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4a2ac592cb4b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7ef474fc8543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P13 원가 및 위험 관리</x:v>
      </x:c>
      <x:c r="B2" s="1"/>
      <x:c r="C2" s="1"/>
    </x:row>
    <x:row r="3">
      <x:c r="A3" s="3" t="str">
        <x:v>P13-COM-001 | SYNTHETIC | Rev01 | 2017-08-13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147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0.6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88.2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129.36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130.56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0.4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147.4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0.294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16.546000000000003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e7a7100554614b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P13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7.76</x:v>
      </x:c>
      <x:c r="F6" s="13" t="n">
        <x:f>ROUND(C6*E6,2)</x:f>
        <x:v>7.76</x:v>
      </x:c>
      <x:c r="G6" s="13" t="n">
        <x:v>7.76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29</x:v>
      </x:c>
      <x:c r="D7" s="10" t="str">
        <x:v>month</x:v>
      </x:c>
      <x:c r="E7" s="17" t="n">
        <x:v>0.4013793103448276</x:v>
      </x:c>
      <x:c r="F7" s="14" t="n">
        <x:f>ROUND(C7*E7,2)</x:f>
        <x:v>11.64</x:v>
      </x:c>
      <x:c r="G7" s="14" t="n">
        <x:v>11.64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철도 성토 및 개량</x:v>
      </x:c>
      <x:c r="C8" s="18" t="n">
        <x:v>620000</x:v>
      </x:c>
      <x:c r="D8" s="11" t="str">
        <x:v>m3</x:v>
      </x:c>
      <x:c r="E8" s="16" t="n">
        <x:v>0.0000375483870967742</x:v>
      </x:c>
      <x:c r="F8" s="13" t="n">
        <x:f>ROUND(C8*E8,2)</x:f>
        <x:v>23.28</x:v>
      </x:c>
      <x:c r="G8" s="13" t="n">
        <x:v>23.28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암거 및 소교량</x:v>
      </x:c>
      <x:c r="C9" s="19" t="n">
        <x:v>33000</x:v>
      </x:c>
      <x:c r="D9" s="10" t="str">
        <x:v>m3</x:v>
      </x:c>
      <x:c r="E9" s="17" t="n">
        <x:v>0.0009800000000000002</x:v>
      </x:c>
      <x:c r="F9" s="14" t="n">
        <x:f>ROUND(C9*E9,2)</x:f>
        <x:v>32.34</x:v>
      </x:c>
      <x:c r="G9" s="14" t="n">
        <x:v>32.34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38</x:v>
      </x:c>
      <x:c r="D10" s="11" t="str">
        <x:v>set</x:v>
      </x:c>
      <x:c r="E10" s="16" t="n">
        <x:v>0.37447368421052635</x:v>
      </x:c>
      <x:c r="F10" s="13" t="n">
        <x:f>ROUND(C10*E10,2)</x:f>
        <x:v>14.23</x:v>
      </x:c>
      <x:c r="G10" s="13" t="n">
        <x:v>14.23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234</x:v>
      </x:c>
      <x:c r="D11" s="10" t="str">
        <x:v>point</x:v>
      </x:c>
      <x:c r="E11" s="17" t="n">
        <x:v>0.044230769230769226</x:v>
      </x:c>
      <x:c r="F11" s="14" t="n">
        <x:f>ROUND(C11*E11,2)</x:f>
        <x:v>10.35</x:v>
      </x:c>
      <x:c r="G11" s="14" t="n">
        <x:v>10.35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36</x:v>
      </x:c>
      <x:c r="D12" s="11" t="str">
        <x:v>location</x:v>
      </x:c>
      <x:c r="E12" s="16" t="n">
        <x:v>0.2516666666666667</x:v>
      </x:c>
      <x:c r="F12" s="13" t="n">
        <x:f>ROUND(C12*E12,2)</x:f>
        <x:v>9.06</x:v>
      </x:c>
      <x:c r="G12" s="13" t="n">
        <x:v>9.06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68000</x:v>
      </x:c>
      <x:c r="D13" s="10" t="str">
        <x:v>m2</x:v>
      </x:c>
      <x:c r="E13" s="17" t="n">
        <x:v>0.00007602941176470588</x:v>
      </x:c>
      <x:c r="F13" s="14" t="n">
        <x:f>ROUND(C13*E13,2)</x:f>
        <x:v>5.17</x:v>
      </x:c>
      <x:c r="G13" s="14" t="n">
        <x:v>6.37</x:v>
      </x:c>
      <x:c r="H13" s="14" t="n">
        <x:f>G13-F13</x:f>
        <x:v>1.2000000000000002</x:v>
      </x:c>
    </x:row>
    <x:row r="14" ht="36" customHeight="1">
      <x:c r="A14" s="11" t="str">
        <x:v>W09</x:v>
      </x:c>
      <x:c r="B14" s="11" t="str">
        <x:v>현장관리</x:v>
      </x:c>
      <x:c r="C14" s="18" t="n">
        <x:v>29</x:v>
      </x:c>
      <x:c r="D14" s="11" t="str">
        <x:v>month</x:v>
      </x:c>
      <x:c r="E14" s="16" t="n">
        <x:v>0.3568965517241379</x:v>
      </x:c>
      <x:c r="F14" s="13" t="n">
        <x:f>ROUND(C14*E14,2)</x:f>
        <x:v>10.35</x:v>
      </x:c>
      <x:c r="G14" s="13" t="n">
        <x:v>10.35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5.18</x:v>
      </x:c>
      <x:c r="F15" s="14" t="n">
        <x:f>ROUND(C15*E15,2)</x:f>
        <x:v>5.18</x:v>
      </x:c>
      <x:c r="G15" s="14" t="n">
        <x:v>5.18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129.36</x:v>
      </x:c>
      <x:c r="G16" s="15" t="n">
        <x:f>SUM(G6:G15)</x:f>
        <x:v>130.56</x:v>
      </x:c>
      <x:c r="H16" s="15" t="n">
        <x:f>G16-F16</x:f>
        <x:v>1.1999999999999886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b7327c554e1d45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P13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P13-RISK-001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P13-R01</x:v>
      </x:c>
      <x:c r="B6" s="11" t="str">
        <x:v>문서 유효본과 승인 상태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1.2</x:v>
      </x:c>
      <x:c r="H6" s="11" t="n">
        <x:v>9</x:v>
      </x:c>
      <x:c r="I6" s="11" t="str">
        <x:v>종결</x:v>
      </x:c>
      <x:c r="J6" s="11" t="str">
        <x:v>Rev02 승인본을 배포하고 문서대장에 상태·승인일·대체관계를 함께 기록했다.</x:v>
      </x:c>
      <x:c r="K6" s="11" t="str">
        <x:v>P13-BRF-001 / P13-LL01</x:v>
      </x:c>
    </x:row>
    <x:row r="7" ht="65" customHeight="1">
      <x:c r="A7" s="10" t="str">
        <x:v>P13-R02</x:v>
      </x:c>
      <x:c r="B7" s="10" t="str">
        <x:v>지급자재 수량 정산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수량·단위·인수일을 원본별로 대조하고 차이를 승인받는다.</x:v>
      </x:c>
      <x:c r="K7" s="10" t="str">
        <x:v>P13-BRF-001 / P13-LL02</x:v>
      </x:c>
    </x:row>
    <x:row r="8" ht="65" customHeight="1">
      <x:c r="A8" s="11" t="str">
        <x:v>P13-R03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P13-BRF-001 / P13-LL03</x:v>
      </x:c>
    </x:row>
    <x:row r="9" ht="65" customHeight="1">
      <x:c r="A9" s="10" t="str">
        <x:v>P13-R04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P13-BRF-001 / P13-LL03</x:v>
      </x:c>
    </x:row>
    <x:row r="10" ht="65" customHeight="1">
      <x:c r="A10" s="11" t="str">
        <x:v>P13-R05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P13-BRF-001 / P13-LL03</x:v>
      </x:c>
    </x:row>
    <x:row r="11" ht="65" customHeight="1">
      <x:c r="A11" s="10" t="str">
        <x:v>P13-R06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P13-BRF-001 / P13-LL03</x:v>
      </x:c>
    </x:row>
    <x:row r="12" ht="65" customHeight="1">
      <x:c r="A12" s="11" t="str">
        <x:v>P13-R07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P13-BRF-001 / P13-LL03</x:v>
      </x:c>
    </x:row>
    <x:row r="13" ht="65" customHeight="1">
      <x:c r="A13" s="10" t="str">
        <x:v>P13-R08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P13-BRF-001 / P13-LL03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44a2ac592cb4b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P13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P13-PO01</x:v>
      </x:c>
      <x:c r="B6" s="11" t="str">
        <x:v>배수펌프</x:v>
      </x:c>
      <x:c r="C6" s="11" t="str">
        <x:v>가상공급사 A</x:v>
      </x:c>
      <x:c r="D6" s="11" t="n">
        <x:v>12</x:v>
      </x:c>
      <x:c r="E6" s="11" t="n">
        <x:v>2</x:v>
      </x:c>
      <x:c r="F6" s="11" t="n">
        <x:f>SUM(D6:E6)</x:f>
        <x:v>14</x:v>
      </x:c>
      <x:c r="G6" s="11" t="str">
        <x:v>인수완료</x:v>
      </x:c>
    </x:row>
    <x:row r="7" ht="36" customHeight="1">
      <x:c r="A7" s="10" t="str">
        <x:v>P13-PO02</x:v>
      </x:c>
      <x:c r="B7" s="10" t="str">
        <x:v>주요 구조자재</x:v>
      </x:c>
      <x:c r="C7" s="10" t="str">
        <x:v>가상공급사 B</x:v>
      </x:c>
      <x:c r="D7" s="10" t="n">
        <x:v>16</x:v>
      </x:c>
      <x:c r="E7" s="10" t="n">
        <x:v>3</x:v>
      </x:c>
      <x:c r="F7" s="10" t="n">
        <x:f>SUM(D7:E7)</x:f>
        <x:v>19</x:v>
      </x:c>
      <x:c r="G7" s="10" t="str">
        <x:v>인수완료</x:v>
      </x:c>
    </x:row>
    <x:row r="8" ht="36" customHeight="1">
      <x:c r="A8" s="11" t="str">
        <x:v>P13-PO03</x:v>
      </x:c>
      <x:c r="B8" s="11" t="str">
        <x:v>계측장비</x:v>
      </x:c>
      <x:c r="C8" s="11" t="str">
        <x:v>가상공급사 C</x:v>
      </x:c>
      <x:c r="D8" s="11" t="n">
        <x:v>20</x:v>
      </x:c>
      <x:c r="E8" s="11" t="n">
        <x:v>4</x:v>
      </x:c>
      <x:c r="F8" s="11" t="n">
        <x:f>SUM(D8:E8)</x:f>
        <x:v>24</x:v>
      </x:c>
      <x:c r="G8" s="11" t="str">
        <x:v>인수완료</x:v>
      </x:c>
    </x:row>
    <x:row r="9" ht="36" customHeight="1">
      <x:c r="A9" s="10" t="str">
        <x:v>P13-PO04</x:v>
      </x:c>
      <x:c r="B9" s="10" t="str">
        <x:v>전력설비</x:v>
      </x:c>
      <x:c r="C9" s="10" t="str">
        <x:v>가상공급사 D</x:v>
      </x:c>
      <x:c r="D9" s="10" t="n">
        <x:v>24</x:v>
      </x:c>
      <x:c r="E9" s="10" t="n">
        <x:v>2</x:v>
      </x:c>
      <x:c r="F9" s="10" t="n">
        <x:f>SUM(D9:E9)</x:f>
        <x:v>26</x:v>
      </x:c>
      <x:c r="G9" s="10" t="str">
        <x:v>인수완료</x:v>
      </x:c>
    </x:row>
    <x:row r="10" ht="36" customHeight="1">
      <x:c r="A10" s="11" t="str">
        <x:v>P13-PO05</x:v>
      </x:c>
      <x:c r="B10" s="11" t="str">
        <x:v>처리설비</x:v>
      </x:c>
      <x:c r="C10" s="11" t="str">
        <x:v>가상공급사 E</x:v>
      </x:c>
      <x:c r="D10" s="11" t="n">
        <x:v>28</x:v>
      </x:c>
      <x:c r="E10" s="11" t="n">
        <x:v>3</x:v>
      </x:c>
      <x:c r="F10" s="11" t="n">
        <x:f>SUM(D10:E10)</x:f>
        <x:v>31</x:v>
      </x:c>
      <x:c r="G10" s="11" t="str">
        <x:v>인수완료</x:v>
      </x:c>
    </x:row>
    <x:row r="11" ht="36" customHeight="1">
      <x:c r="A11" s="10" t="str">
        <x:v>P13-PO06</x:v>
      </x:c>
      <x:c r="B11" s="10" t="str">
        <x:v>예비품</x:v>
      </x:c>
      <x:c r="C11" s="10" t="str">
        <x:v>가상공급사 F</x:v>
      </x:c>
      <x:c r="D11" s="10" t="n">
        <x:v>32</x:v>
      </x:c>
      <x:c r="E11" s="10" t="n">
        <x:v>4</x:v>
      </x:c>
      <x:c r="F11" s="10" t="n">
        <x:f>SUM(D11:E11)</x:f>
        <x:v>36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7b7ef474fc8543d7"/>
  </x:tableParts>
</x:worksheet>
</file>