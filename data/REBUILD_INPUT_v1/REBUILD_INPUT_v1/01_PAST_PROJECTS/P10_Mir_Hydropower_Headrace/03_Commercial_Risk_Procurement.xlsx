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f6b0d2acca49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d8cd7ef8d6345f4"/>
    <x:sheet xmlns:r="http://schemas.openxmlformats.org/officeDocument/2006/relationships" name="Cost" sheetId="2" r:id="R9779ee59e4d64f44"/>
    <x:sheet xmlns:r="http://schemas.openxmlformats.org/officeDocument/2006/relationships" name="Risk" sheetId="3" r:id="Rb7de024fb5124803"/>
    <x:sheet xmlns:r="http://schemas.openxmlformats.org/officeDocument/2006/relationships" name="Procurement" sheetId="4" r:id="Ra8ced5ecd3854d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#,##0.00"/>
    <x:numFmt numFmtId="202" formatCode="0.00000000"/>
    <x:numFmt numFmtId="203" formatCode="#,##0"/>
  </x:numFmts>
  <x:fonts count="6">
    <x:font>
      <x:sz val="11"/>
      <x:name val="Carlito"/>
    </x:font>
    <x:font>
      <x:sz val="10"/>
      <x:color rgb="FF222222"/>
      <x:name val="Noto Sans KR"/>
    </x:font>
    <x:font>
      <x:b/>
      <x:sz val="14"/>
      <x:color rgb="FF222222"/>
      <x:name val="Noto Sans KR"/>
    </x:font>
    <x:font>
      <x:sz val="9"/>
      <x:color rgb="FF526270"/>
      <x:name val="Noto Sans KR"/>
    </x:font>
    <x:font>
      <x:b/>
      <x:sz val="10"/>
      <x:color rgb="FFFFFFFF"/>
      <x:name val="Noto Sans KR"/>
    </x:font>
    <x:font>
      <x:sz val="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34D"/>
      </x:patternFill>
    </x:fill>
    <x:fill>
      <x:patternFill patternType="solid">
        <x:fgColor rgb="FFF0F4F7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9C24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6d3eca915541c4" /><Relationship Type="http://schemas.openxmlformats.org/officeDocument/2006/relationships/theme" Target="/xl/theme/theme1.xml" Id="R51bfba528dec4040" /><Relationship Type="http://schemas.openxmlformats.org/officeDocument/2006/relationships/sharedStrings" Target="/xl/sharedStrings.xml" Id="R46254ff0946843ae" /><Relationship Type="http://schemas.openxmlformats.org/officeDocument/2006/relationships/worksheet" Target="/xl/worksheets/sheet1.xml" Id="Rcd8cd7ef8d6345f4" /><Relationship Type="http://schemas.openxmlformats.org/officeDocument/2006/relationships/worksheet" Target="/xl/worksheets/sheet2.xml" Id="R9779ee59e4d64f44" /><Relationship Type="http://schemas.openxmlformats.org/officeDocument/2006/relationships/worksheet" Target="/xl/worksheets/sheet3.xml" Id="Rb7de024fb5124803" /><Relationship Type="http://schemas.openxmlformats.org/officeDocument/2006/relationships/worksheet" Target="/xl/worksheets/sheet4.xml" Id="Ra8ced5ecd3854dbb" /></Relationships>
</file>

<file path=xl/tables/table1.xml><?xml version="1.0" encoding="utf-8"?>
<x:table xmlns:x="http://schemas.openxmlformats.org/spreadsheetml/2006/main" id="1" name="SummaryData" displayName="SummaryData" ref="A5:C14" headerRowCount="1" totalsRowCount="0" totalsRowShown="0">
  <x:tableColumns count="3">
    <x:tableColumn id="1" name="항목"/>
    <x:tableColumn id="2" name="값"/>
    <x:tableColumn id="3" name="단위 또는 기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stData" displayName="CostData" ref="A5:H15" headerRowCount="1" totalsRowCount="0" totalsRowShown="0">
  <x:tableColumns count="8">
    <x:tableColumn id="1" name="WBS"/>
    <x:tableColumn id="2" name="항목"/>
    <x:tableColumn id="3" name="수량"/>
    <x:tableColumn id="4" name="단위"/>
    <x:tableColumn id="5" name="단가 (million)"/>
    <x:tableColumn id="6" name="예산 (million)"/>
    <x:tableColumn id="7" name="실적 (million)"/>
    <x:tableColumn id="8" name="차이 (million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iskData" displayName="RiskData" ref="A5:K13" headerRowCount="1" totalsRowCount="0" totalsRowShown="0">
  <x:tableColumns count="11">
    <x:tableColumn id="1" name="Risk ID"/>
    <x:tableColumn id="2" name="사건 또는 위험"/>
    <x:tableColumn id="3" name="가능성 1~5"/>
    <x:tableColumn id="4" name="영향 1~5"/>
    <x:tableColumn id="5" name="점수"/>
    <x:tableColumn id="6" name="책임 기능"/>
    <x:tableColumn id="7" name="관측 추가원가 (USD million)"/>
    <x:tableColumn id="8" name="관측 지연 (일)"/>
    <x:tableColumn id="9" name="상태"/>
    <x:tableColumn id="10" name="대응"/>
    <x:tableColumn id="11" name="근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curementData" displayName="ProcurementData" ref="A5:G11" headerRowCount="1" totalsRowCount="0" totalsRowShown="0">
  <x:tableColumns count="7">
    <x:tableColumn id="1" name="PO ID"/>
    <x:tableColumn id="2" name="설비"/>
    <x:tableColumn id="3" name="공급사"/>
    <x:tableColumn id="4" name="제작운송 주"/>
    <x:tableColumn id="5" name="승인 주"/>
    <x:tableColumn id="6" name="총 소요 주"/>
    <x:tableColumn id="7" name="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5aeb644dd145f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c5dfb3682e549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db70b490a114d4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ad2a76643c5416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.889999389648438" hidden="0" customWidth="1"/>
    <x:col min="2" max="2" width="21.110000610351562" hidden="0" customWidth="1"/>
    <x:col min="3" max="3" width="41.11000061035156" hidden="0" customWidth="1"/>
  </x:cols>
  <x:sheetData>
    <x:row r="1">
      <x:c r="A1" s="1"/>
      <x:c r="B1" s="1"/>
      <x:c r="C1" s="1"/>
    </x:row>
    <x:row r="2">
      <x:c r="A2" s="2" t="str">
        <x:v>P10 원가 및 위험 관리</x:v>
      </x:c>
      <x:c r="B2" s="1"/>
      <x:c r="C2" s="1"/>
    </x:row>
    <x:row r="3">
      <x:c r="A3" s="3" t="str">
        <x:v>P10-COM-001 | SYNTHETIC | Rev01 | 2022-05-07</x:v>
      </x:c>
      <x:c r="B3" s="1"/>
      <x:c r="C3" s="1"/>
    </x:row>
    <x:row r="4">
      <x:c r="A4" s="1"/>
      <x:c r="B4" s="1"/>
      <x:c r="C4" s="1"/>
    </x:row>
    <x:row r="5" ht="34" customHeight="1">
      <x:c r="A5" s="8" t="str">
        <x:v>항목</x:v>
      </x:c>
      <x:c r="B5" s="8" t="str">
        <x:v>값</x:v>
      </x:c>
      <x:c r="C5" s="8" t="str">
        <x:v>단위 또는 기준</x:v>
      </x:c>
    </x:row>
    <x:row r="6" ht="36" customHeight="1">
      <x:c r="A6" s="11" t="str">
        <x:v>계약금액</x:v>
      </x:c>
      <x:c r="B6" s="11" t="n">
        <x:v>318</x:v>
      </x:c>
      <x:c r="C6" s="11" t="str">
        <x:v>USD million / JV 전체</x:v>
      </x:c>
    </x:row>
    <x:row r="7" ht="36" customHeight="1">
      <x:c r="A7" s="10" t="str">
        <x:v>당사 지분</x:v>
      </x:c>
      <x:c r="B7" s="12" t="n">
        <x:v>0.4</x:v>
      </x:c>
      <x:c r="C7" s="10" t="str">
        <x:v>전체 금액과 구분</x:v>
      </x:c>
    </x:row>
    <x:row r="8" ht="36" customHeight="1">
      <x:c r="A8" s="11" t="str">
        <x:v>지분 귀속 기준금액</x:v>
      </x:c>
      <x:c r="B8" s="11" t="n">
        <x:f>B6*B7</x:f>
        <x:v>127.2</x:v>
      </x:c>
      <x:c r="C8" s="11" t="str">
        <x:v>USD million</x:v>
      </x:c>
    </x:row>
    <x:row r="9" ht="36" customHeight="1">
      <x:c r="A9" s="10" t="str">
        <x:v>실행예산</x:v>
      </x:c>
      <x:c r="B9" s="10" t="n">
        <x:f>'Cost'!F16</x:f>
        <x:v>279.84000000000003</x:v>
      </x:c>
      <x:c r="C9" s="10" t="str">
        <x:v>USD million / 신규는 검토용 가정</x:v>
      </x:c>
    </x:row>
    <x:row r="10" ht="36" customHeight="1">
      <x:c r="A10" s="11" t="str">
        <x:v>최종원가</x:v>
      </x:c>
      <x:c r="B10" s="11" t="n">
        <x:f>'Cost'!G16</x:f>
        <x:v>288.04</x:v>
      </x:c>
      <x:c r="C10" s="11" t="str">
        <x:v>USD million</x:v>
      </x:c>
    </x:row>
    <x:row r="11" ht="36" customHeight="1">
      <x:c r="A11" s="10" t="str">
        <x:v>승인 변경금액</x:v>
      </x:c>
      <x:c r="B11" s="10" t="n">
        <x:v>5.5</x:v>
      </x:c>
      <x:c r="C11" s="10" t="str">
        <x:v>USD million</x:v>
      </x:c>
    </x:row>
    <x:row r="12" ht="36" customHeight="1">
      <x:c r="A12" s="11" t="str">
        <x:v>최종 계약수입</x:v>
      </x:c>
      <x:c r="B12" s="11" t="n">
        <x:f>SUM(B6,B11)</x:f>
        <x:v>323.5</x:v>
      </x:c>
      <x:c r="C12" s="11" t="str">
        <x:v>USD million</x:v>
      </x:c>
    </x:row>
    <x:row r="13" ht="36" customHeight="1">
      <x:c r="A13" s="10" t="str">
        <x:v>지체상금 공제</x:v>
      </x:c>
      <x:c r="B13" s="10" t="n">
        <x:v>0.954</x:v>
      </x:c>
      <x:c r="C13" s="10" t="str">
        <x:v>USD million</x:v>
      </x:c>
    </x:row>
    <x:row r="14" ht="36" customHeight="1">
      <x:c r="A14" s="11" t="str">
        <x:v>공제 후 잔여</x:v>
      </x:c>
      <x:c r="B14" s="11" t="n">
        <x:f>B12-B10-B13</x:f>
        <x:v>34.50599999999998</x:v>
      </x:c>
      <x:c r="C14" s="11" t="str">
        <x:v>세금·금융비용 전 / USD million</x:v>
      </x:c>
    </x:row>
  </x:sheetData>
  <x:pageMargins left="0.7" right="0.7" top="0.75" bottom="0.75" header="0.3" footer="0.3"/>
  <x:tableParts count="1">
    <x:tablePart xmlns:r="http://schemas.openxmlformats.org/officeDocument/2006/relationships" r:id="Rcd5aeb644dd145f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.329999923706055" hidden="0" customWidth="1"/>
    <x:col min="2" max="2" width="20" hidden="0" customWidth="1"/>
    <x:col min="3" max="3" width="12.220000267028809" hidden="0" customWidth="1"/>
    <x:col min="4" max="4" width="10" hidden="0" customWidth="1"/>
    <x:col min="5" max="5" width="15.5600004196167" hidden="0" customWidth="1"/>
    <x:col min="6" max="6" width="16.670000076293945" hidden="0" customWidth="1"/>
    <x:col min="7" max="7" width="16.670000076293945" hidden="0" customWidth="1"/>
    <x:col min="8" max="8" width="16.67000007629394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P10 공종별 원가 (USD million)</x:v>
      </x:c>
      <x:c r="B2" s="1"/>
      <x:c r="C2" s="1"/>
      <x:c r="D2" s="1"/>
      <x:c r="E2" s="1"/>
      <x:c r="F2" s="1"/>
      <x:c r="G2" s="1"/>
      <x:c r="H2" s="1"/>
    </x:row>
    <x:row r="3">
      <x:c r="A3" s="3" t="str">
        <x:v>SYNTHETIC / 가상 자료 · 금액 및 기준은 각 열의 단위 참조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4" customHeight="1">
      <x:c r="A5" s="8" t="str">
        <x:v>WBS</x:v>
      </x:c>
      <x:c r="B5" s="8" t="str">
        <x:v>항목</x:v>
      </x:c>
      <x:c r="C5" s="8" t="str">
        <x:v>수량</x:v>
      </x:c>
      <x:c r="D5" s="8" t="str">
        <x:v>단위</x:v>
      </x:c>
      <x:c r="E5" s="8" t="str">
        <x:v>단가 (million)</x:v>
      </x:c>
      <x:c r="F5" s="8" t="str">
        <x:v>예산 (million)</x:v>
      </x:c>
      <x:c r="G5" s="8" t="str">
        <x:v>실적 (million)</x:v>
      </x:c>
      <x:c r="H5" s="8" t="str">
        <x:v>차이 (million)</x:v>
      </x:c>
    </x:row>
    <x:row r="6" ht="36" customHeight="1">
      <x:c r="A6" s="11" t="str">
        <x:v>W01</x:v>
      </x:c>
      <x:c r="B6" s="11" t="str">
        <x:v>설계 및 조사</x:v>
      </x:c>
      <x:c r="C6" s="18" t="n">
        <x:v>1</x:v>
      </x:c>
      <x:c r="D6" s="11" t="str">
        <x:v>LS</x:v>
      </x:c>
      <x:c r="E6" s="16" t="n">
        <x:v>16.79</x:v>
      </x:c>
      <x:c r="F6" s="13" t="n">
        <x:f>ROUND(C6*E6,2)</x:f>
        <x:v>16.79</x:v>
      </x:c>
      <x:c r="G6" s="13" t="n">
        <x:v>16.79</x:v>
      </x:c>
      <x:c r="H6" s="13" t="n">
        <x:f>G6-F6</x:f>
        <x:v>0</x:v>
      </x:c>
    </x:row>
    <x:row r="7" ht="36" customHeight="1">
      <x:c r="A7" s="10" t="str">
        <x:v>W02</x:v>
      </x:c>
      <x:c r="B7" s="10" t="str">
        <x:v>가설 및 접근시설</x:v>
      </x:c>
      <x:c r="C7" s="19" t="n">
        <x:v>48</x:v>
      </x:c>
      <x:c r="D7" s="10" t="str">
        <x:v>month</x:v>
      </x:c>
      <x:c r="E7" s="17" t="n">
        <x:v>0.5247916666666667</x:v>
      </x:c>
      <x:c r="F7" s="14" t="n">
        <x:f>ROUND(C7*E7,2)</x:f>
        <x:v>25.19</x:v>
      </x:c>
      <x:c r="G7" s="14" t="n">
        <x:v>25.19</x:v>
      </x:c>
      <x:c r="H7" s="14" t="n">
        <x:f>G7-F7</x:f>
        <x:v>0</x:v>
      </x:c>
    </x:row>
    <x:row r="8" ht="36" customHeight="1">
      <x:c r="A8" s="11" t="str">
        <x:v>W03</x:v>
      </x:c>
      <x:c r="B8" s="11" t="str">
        <x:v>도수터널 굴착</x:v>
      </x:c>
      <x:c r="C8" s="18" t="n">
        <x:v>360000</x:v>
      </x:c>
      <x:c r="D8" s="11" t="str">
        <x:v>m3</x:v>
      </x:c>
      <x:c r="E8" s="16" t="n">
        <x:v>0.00013991666666666666</x:v>
      </x:c>
      <x:c r="F8" s="13" t="n">
        <x:f>ROUND(C8*E8,2)</x:f>
        <x:v>50.37</x:v>
      </x:c>
      <x:c r="G8" s="13" t="n">
        <x:v>58.57</x:v>
      </x:c>
      <x:c r="H8" s="13" t="n">
        <x:f>G8-F8</x:f>
        <x:v>8.200000000000003</x:v>
      </x:c>
    </x:row>
    <x:row r="9" ht="36" customHeight="1">
      <x:c r="A9" s="10" t="str">
        <x:v>W04</x:v>
      </x:c>
      <x:c r="B9" s="10" t="str">
        <x:v>터널 라이닝 및 조압수조</x:v>
      </x:c>
      <x:c r="C9" s="19" t="n">
        <x:v>74000</x:v>
      </x:c>
      <x:c r="D9" s="10" t="str">
        <x:v>m3</x:v>
      </x:c>
      <x:c r="E9" s="17" t="n">
        <x:v>0.0009454054054054053</x:v>
      </x:c>
      <x:c r="F9" s="14" t="n">
        <x:f>ROUND(C9*E9,2)</x:f>
        <x:v>69.96</x:v>
      </x:c>
      <x:c r="G9" s="14" t="n">
        <x:v>69.96</x:v>
      </x:c>
      <x:c r="H9" s="14" t="n">
        <x:f>G9-F9</x:f>
        <x:v>0</x:v>
      </x:c>
    </x:row>
    <x:row r="10" ht="36" customHeight="1">
      <x:c r="A10" s="11" t="str">
        <x:v>W05</x:v>
      </x:c>
      <x:c r="B10" s="11" t="str">
        <x:v>기계 및 배수</x:v>
      </x:c>
      <x:c r="C10" s="18" t="n">
        <x:v>26</x:v>
      </x:c>
      <x:c r="D10" s="11" t="str">
        <x:v>set</x:v>
      </x:c>
      <x:c r="E10" s="16" t="n">
        <x:v>1.183846153846154</x:v>
      </x:c>
      <x:c r="F10" s="13" t="n">
        <x:f>ROUND(C10*E10,2)</x:f>
        <x:v>30.78</x:v>
      </x:c>
      <x:c r="G10" s="13" t="n">
        <x:v>30.78</x:v>
      </x:c>
      <x:c r="H10" s="13" t="n">
        <x:f>G10-F10</x:f>
        <x:v>0</x:v>
      </x:c>
    </x:row>
    <x:row r="11" ht="36" customHeight="1">
      <x:c r="A11" s="10" t="str">
        <x:v>W06</x:v>
      </x:c>
      <x:c r="B11" s="10" t="str">
        <x:v>전기 및 계측</x:v>
      </x:c>
      <x:c r="C11" s="19" t="n">
        <x:v>198</x:v>
      </x:c>
      <x:c r="D11" s="10" t="str">
        <x:v>point</x:v>
      </x:c>
      <x:c r="E11" s="17" t="n">
        <x:v>0.11308080808080809</x:v>
      </x:c>
      <x:c r="F11" s="14" t="n">
        <x:f>ROUND(C11*E11,2)</x:f>
        <x:v>22.39</x:v>
      </x:c>
      <x:c r="G11" s="14" t="n">
        <x:v>22.39</x:v>
      </x:c>
      <x:c r="H11" s="14" t="n">
        <x:f>G11-F11</x:f>
        <x:v>0</x:v>
      </x:c>
    </x:row>
    <x:row r="12" ht="36" customHeight="1">
      <x:c r="A12" s="11" t="str">
        <x:v>W07</x:v>
      </x:c>
      <x:c r="B12" s="11" t="str">
        <x:v>지장물 및 접속</x:v>
      </x:c>
      <x:c r="C12" s="18" t="n">
        <x:v>30</x:v>
      </x:c>
      <x:c r="D12" s="11" t="str">
        <x:v>location</x:v>
      </x:c>
      <x:c r="E12" s="16" t="n">
        <x:v>0.653</x:v>
      </x:c>
      <x:c r="F12" s="13" t="n">
        <x:f>ROUND(C12*E12,2)</x:f>
        <x:v>19.59</x:v>
      </x:c>
      <x:c r="G12" s="13" t="n">
        <x:v>19.59</x:v>
      </x:c>
      <x:c r="H12" s="13" t="n">
        <x:f>G12-F12</x:f>
        <x:v>0</x:v>
      </x:c>
    </x:row>
    <x:row r="13" ht="36" customHeight="1">
      <x:c r="A13" s="10" t="str">
        <x:v>W08</x:v>
      </x:c>
      <x:c r="B13" s="10" t="str">
        <x:v>환경 및 복구</x:v>
      </x:c>
      <x:c r="C13" s="19" t="n">
        <x:v>57500</x:v>
      </x:c>
      <x:c r="D13" s="10" t="str">
        <x:v>m2</x:v>
      </x:c>
      <x:c r="E13" s="17" t="n">
        <x:v>0.00019460869565217392</x:v>
      </x:c>
      <x:c r="F13" s="14" t="n">
        <x:f>ROUND(C13*E13,2)</x:f>
        <x:v>11.19</x:v>
      </x:c>
      <x:c r="G13" s="14" t="n">
        <x:v>11.19</x:v>
      </x:c>
      <x:c r="H13" s="14" t="n">
        <x:f>G13-F13</x:f>
        <x:v>0</x:v>
      </x:c>
    </x:row>
    <x:row r="14" ht="36" customHeight="1">
      <x:c r="A14" s="11" t="str">
        <x:v>W09</x:v>
      </x:c>
      <x:c r="B14" s="11" t="str">
        <x:v>현장관리</x:v>
      </x:c>
      <x:c r="C14" s="18" t="n">
        <x:v>48</x:v>
      </x:c>
      <x:c r="D14" s="11" t="str">
        <x:v>month</x:v>
      </x:c>
      <x:c r="E14" s="16" t="n">
        <x:v>0.46645833333333336</x:v>
      </x:c>
      <x:c r="F14" s="13" t="n">
        <x:f>ROUND(C14*E14,2)</x:f>
        <x:v>22.39</x:v>
      </x:c>
      <x:c r="G14" s="13" t="n">
        <x:v>22.39</x:v>
      </x:c>
      <x:c r="H14" s="13" t="n">
        <x:f>G14-F14</x:f>
        <x:v>0</x:v>
      </x:c>
    </x:row>
    <x:row r="15" ht="36" customHeight="1">
      <x:c r="A15" s="10" t="str">
        <x:v>W10</x:v>
      </x:c>
      <x:c r="B15" s="10" t="str">
        <x:v>시험 및 인도</x:v>
      </x:c>
      <x:c r="C15" s="19" t="n">
        <x:v>1</x:v>
      </x:c>
      <x:c r="D15" s="10" t="str">
        <x:v>LS</x:v>
      </x:c>
      <x:c r="E15" s="17" t="n">
        <x:v>11.19</x:v>
      </x:c>
      <x:c r="F15" s="14" t="n">
        <x:f>ROUND(C15*E15,2)</x:f>
        <x:v>11.19</x:v>
      </x:c>
      <x:c r="G15" s="14" t="n">
        <x:v>11.19</x:v>
      </x:c>
      <x:c r="H15" s="14" t="n">
        <x:f>G15-F15</x:f>
        <x:v>0</x:v>
      </x:c>
    </x:row>
    <x:row r="16">
      <x:c r="B16" t="str">
        <x:v>합계</x:v>
      </x:c>
      <x:c r="F16" s="15" t="n">
        <x:f>SUM(F6:F15)</x:f>
        <x:v>279.84000000000003</x:v>
      </x:c>
      <x:c r="G16" s="15" t="n">
        <x:f>SUM(G6:G15)</x:f>
        <x:v>288.04</x:v>
      </x:c>
      <x:c r="H16" s="15" t="n">
        <x:f>G16-F16</x:f>
        <x:v>8.199999999999989</x:v>
      </x:c>
    </x:row>
    <x:row r="17">
      <x:c r="A17" s="20" t="str">
        <x:v>수량×단가=예산. 신규 수치는 가상 입찰팀의 초기 검토 가정이며 발주처 확정 수량이 아니다.</x:v>
      </x:c>
    </x:row>
  </x:sheetData>
  <x:pageMargins left="0.7" right="0.7" top="0.75" bottom="0.75" header="0.3" footer="0.3"/>
  <x:tableParts count="1">
    <x:tablePart xmlns:r="http://schemas.openxmlformats.org/officeDocument/2006/relationships" r:id="Rcc5dfb3682e5499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.220000267028809" hidden="0" customWidth="1"/>
    <x:col min="2" max="2" width="41.11000061035156" hidden="0" customWidth="1"/>
    <x:col min="3" max="3" width="10.5600004196167" hidden="0" customWidth="1"/>
    <x:col min="4" max="4" width="10.5600004196167" hidden="0" customWidth="1"/>
    <x:col min="5" max="5" width="8.329999923706055" hidden="0" customWidth="1"/>
    <x:col min="6" max="6" width="12.220000267028809" hidden="0" customWidth="1"/>
    <x:col min="7" max="7" width="18.889999389648438" hidden="0" customWidth="1"/>
    <x:col min="8" max="8" width="13.890000343322754" hidden="0" customWidth="1"/>
    <x:col min="9" max="9" width="10.5600004196167" hidden="0" customWidth="1"/>
    <x:col min="10" max="10" width="45.560001373291016" hidden="0" customWidth="1"/>
    <x:col min="11" max="11" width="27.78000068664550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P10 Risk Register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3" t="str">
        <x:v>P10-RISK-001 | SYNTHETIC | 위험 점수는 입찰 시 평가, 금액·지연은 과거 관측 결과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4" customHeight="1">
      <x:c r="A5" s="8" t="str">
        <x:v>Risk ID</x:v>
      </x:c>
      <x:c r="B5" s="8" t="str">
        <x:v>사건 또는 위험</x:v>
      </x:c>
      <x:c r="C5" s="8" t="str">
        <x:v>가능성 1~5</x:v>
      </x:c>
      <x:c r="D5" s="8" t="str">
        <x:v>영향 1~5</x:v>
      </x:c>
      <x:c r="E5" s="8" t="str">
        <x:v>점수</x:v>
      </x:c>
      <x:c r="F5" s="8" t="str">
        <x:v>책임 기능</x:v>
      </x:c>
      <x:c r="G5" s="8" t="str">
        <x:v>관측 추가원가 (USD million)</x:v>
      </x:c>
      <x:c r="H5" s="8" t="str">
        <x:v>관측 지연 (일)</x:v>
      </x:c>
      <x:c r="I5" s="8" t="str">
        <x:v>상태</x:v>
      </x:c>
      <x:c r="J5" s="8" t="str">
        <x:v>대응</x:v>
      </x:c>
      <x:c r="K5" s="8" t="str">
        <x:v>근거</x:v>
      </x:c>
    </x:row>
    <x:row r="6" ht="65" customHeight="1">
      <x:c r="A6" s="11" t="str">
        <x:v>P10-R01</x:v>
      </x:c>
      <x:c r="B6" s="11" t="str">
        <x:v>고수압 파쇄대와 굴진 중단</x:v>
      </x:c>
      <x:c r="C6" s="11" t="n">
        <x:v>4</x:v>
      </x:c>
      <x:c r="D6" s="11" t="n">
        <x:v>5</x:v>
      </x:c>
      <x:c r="E6" s="11" t="n">
        <x:f>C6*D6</x:f>
        <x:v>20</x:v>
      </x:c>
      <x:c r="F6" s="11" t="str">
        <x:v>설계</x:v>
      </x:c>
      <x:c r="G6" s="11" t="n">
        <x:v>8.2</x:v>
      </x:c>
      <x:c r="H6" s="11" t="n">
        <x:v>43</x:v>
      </x:c>
      <x:c r="I6" s="11" t="str">
        <x:v>종결</x:v>
      </x:c>
      <x:c r="J6" s="11" t="str">
        <x:v>전방 주입 후 우회 배수관을 설치하고 유입량 안정 확인 뒤 굴진을 재개했다.</x:v>
      </x:c>
      <x:c r="K6" s="11" t="str">
        <x:v>P10-BRF-001 / P10-LL01</x:v>
      </x:c>
    </x:row>
    <x:row r="7" ht="65" customHeight="1">
      <x:c r="A7" s="10" t="str">
        <x:v>P10-R02</x:v>
      </x:c>
      <x:c r="B7" s="10" t="str">
        <x:v>TBM 예비품 통관</x:v>
      </x:c>
      <x:c r="C7" s="10" t="n">
        <x:v>3</x:v>
      </x:c>
      <x:c r="D7" s="10" t="n">
        <x:v>4</x:v>
      </x:c>
      <x:c r="E7" s="10" t="n">
        <x:f>C7*D7</x:f>
        <x:v>12</x:v>
      </x:c>
      <x:c r="F7" s="10" t="str">
        <x:v>시공</x:v>
      </x:c>
      <x:c r="G7" s="10"/>
      <x:c r="H7" s="10"/>
      <x:c r="I7" s="10" t="str">
        <x:v>종결</x:v>
      </x:c>
      <x:c r="J7" s="10" t="str">
        <x:v>장비 고장 영향과 조달 리드타임을 함께 비교한다.</x:v>
      </x:c>
      <x:c r="K7" s="10" t="str">
        <x:v>P10-BRF-001 / P10-LL02</x:v>
      </x:c>
    </x:row>
    <x:row r="8" ht="65" customHeight="1">
      <x:c r="A8" s="11" t="str">
        <x:v>P10-R03</x:v>
      </x:c>
      <x:c r="B8" s="11" t="str">
        <x:v>통지기한 관리</x:v>
      </x:c>
      <x:c r="C8" s="11" t="n">
        <x:v>3</x:v>
      </x:c>
      <x:c r="D8" s="11" t="n">
        <x:v>4</x:v>
      </x:c>
      <x:c r="E8" s="11" t="n">
        <x:f>C8*D8</x:f>
        <x:v>12</x:v>
      </x:c>
      <x:c r="F8" s="11" t="str">
        <x:v>계약</x:v>
      </x:c>
      <x:c r="G8" s="11"/>
      <x:c r="H8" s="11"/>
      <x:c r="I8" s="11" t="str">
        <x:v>종결</x:v>
      </x:c>
      <x:c r="J8" s="11" t="str">
        <x:v>적용 계약의 통지기한과 공식 접수 증빙 확인</x:v>
      </x:c>
      <x:c r="K8" s="11" t="str">
        <x:v>P10-BRF-001 / P10-LL03</x:v>
      </x:c>
    </x:row>
    <x:row r="9" ht="65" customHeight="1">
      <x:c r="A9" s="10" t="str">
        <x:v>P10-R04</x:v>
      </x:c>
      <x:c r="B9" s="10" t="str">
        <x:v>변경 승인과 원가 불일치</x:v>
      </x:c>
      <x:c r="C9" s="10" t="n">
        <x:v>2</x:v>
      </x:c>
      <x:c r="D9" s="10" t="n">
        <x:v>3</x:v>
      </x:c>
      <x:c r="E9" s="10" t="n">
        <x:f>C9*D9</x:f>
        <x:v>6</x:v>
      </x:c>
      <x:c r="F9" s="10" t="str">
        <x:v>원가</x:v>
      </x:c>
      <x:c r="G9" s="10"/>
      <x:c r="H9" s="10"/>
      <x:c r="I9" s="10" t="str">
        <x:v>종결</x:v>
      </x:c>
      <x:c r="J9" s="10" t="str">
        <x:v>선행조건 및 책임 경계를 확인하고 근거 문서와 연결</x:v>
      </x:c>
      <x:c r="K9" s="10" t="str">
        <x:v>P10-BRF-001 / P10-LL03</x:v>
      </x:c>
    </x:row>
    <x:row r="10" ht="65" customHeight="1">
      <x:c r="A10" s="11" t="str">
        <x:v>P10-R05</x:v>
      </x:c>
      <x:c r="B10" s="11" t="str">
        <x:v>장기납기 승인 지연</x:v>
      </x:c>
      <x:c r="C10" s="11" t="n">
        <x:v>3</x:v>
      </x:c>
      <x:c r="D10" s="11" t="n">
        <x:v>4</x:v>
      </x:c>
      <x:c r="E10" s="11" t="n">
        <x:f>C10*D10</x:f>
        <x:v>12</x:v>
      </x:c>
      <x:c r="F10" s="11" t="str">
        <x:v>조달</x:v>
      </x:c>
      <x:c r="G10" s="11"/>
      <x:c r="H10" s="11"/>
      <x:c r="I10" s="11" t="str">
        <x:v>종결</x:v>
      </x:c>
      <x:c r="J10" s="11" t="str">
        <x:v>선행조건 및 책임 경계를 확인하고 근거 문서와 연결</x:v>
      </x:c>
      <x:c r="K10" s="11" t="str">
        <x:v>P10-BRF-001 / P10-LL03</x:v>
      </x:c>
    </x:row>
    <x:row r="11" ht="65" customHeight="1">
      <x:c r="A11" s="10" t="str">
        <x:v>P10-R06</x:v>
      </x:c>
      <x:c r="B11" s="10" t="str">
        <x:v>인접 자산과 제3자 권리</x:v>
      </x:c>
      <x:c r="C11" s="10" t="n">
        <x:v>2</x:v>
      </x:c>
      <x:c r="D11" s="10" t="n">
        <x:v>4</x:v>
      </x:c>
      <x:c r="E11" s="10" t="n">
        <x:f>C11*D11</x:f>
        <x:v>8</x:v>
      </x:c>
      <x:c r="F11" s="10" t="str">
        <x:v>대외협의</x:v>
      </x:c>
      <x:c r="G11" s="10"/>
      <x:c r="H11" s="10"/>
      <x:c r="I11" s="10" t="str">
        <x:v>종결</x:v>
      </x:c>
      <x:c r="J11" s="10" t="str">
        <x:v>선행조건 및 책임 경계를 확인하고 근거 문서와 연결</x:v>
      </x:c>
      <x:c r="K11" s="10" t="str">
        <x:v>P10-BRF-001 / P10-LL03</x:v>
      </x:c>
    </x:row>
    <x:row r="12" ht="65" customHeight="1">
      <x:c r="A12" s="11" t="str">
        <x:v>P10-R07</x:v>
      </x:c>
      <x:c r="B12" s="11" t="str">
        <x:v>단위와 JV 기준 혼용</x:v>
      </x:c>
      <x:c r="C12" s="11" t="n">
        <x:v>2</x:v>
      </x:c>
      <x:c r="D12" s="11" t="n">
        <x:v>3</x:v>
      </x:c>
      <x:c r="E12" s="11" t="n">
        <x:f>C12*D12</x:f>
        <x:v>6</x:v>
      </x:c>
      <x:c r="F12" s="11" t="str">
        <x:v>원가</x:v>
      </x:c>
      <x:c r="G12" s="11"/>
      <x:c r="H12" s="11"/>
      <x:c r="I12" s="11" t="str">
        <x:v>종결</x:v>
      </x:c>
      <x:c r="J12" s="11" t="str">
        <x:v>선행조건 및 책임 경계를 확인하고 근거 문서와 연결</x:v>
      </x:c>
      <x:c r="K12" s="11" t="str">
        <x:v>P10-BRF-001 / P10-LL03</x:v>
      </x:c>
    </x:row>
    <x:row r="13" ht="65" customHeight="1">
      <x:c r="A13" s="10" t="str">
        <x:v>P10-R08</x:v>
      </x:c>
      <x:c r="B13" s="10" t="str">
        <x:v>시험 및 인도 선행조건</x:v>
      </x:c>
      <x:c r="C13" s="10" t="n">
        <x:v>2</x:v>
      </x:c>
      <x:c r="D13" s="10" t="n">
        <x:v>3</x:v>
      </x:c>
      <x:c r="E13" s="10" t="n">
        <x:f>C13*D13</x:f>
        <x:v>6</x:v>
      </x:c>
      <x:c r="F13" s="10" t="str">
        <x:v>품질</x:v>
      </x:c>
      <x:c r="G13" s="10"/>
      <x:c r="H13" s="10"/>
      <x:c r="I13" s="10" t="str">
        <x:v>종결</x:v>
      </x:c>
      <x:c r="J13" s="10" t="str">
        <x:v>선행조건 및 책임 경계를 확인하고 근거 문서와 연결</x:v>
      </x:c>
      <x:c r="K13" s="10" t="str">
        <x:v>P10-BRF-001 / P10-LL03</x:v>
      </x:c>
    </x:row>
  </x:sheetData>
  <x:conditionalFormatting sqref="E6:E13">
    <x:cfRule type="cellIs" dxfId="0" priority="1" operator="greaterThanOrEqual">
      <x:formula>15</x:formula>
    </x:cfRule>
  </x:conditionalFormatting>
  <x:dataValidations count="1">
    <x:dataValidation type="whole" operator="between" sqref="C6:D13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db70b490a114d4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.890000343322754" hidden="0" customWidth="1"/>
    <x:col min="2" max="2" width="18.329999923706055" hidden="0" customWidth="1"/>
    <x:col min="3" max="3" width="18.329999923706055" hidden="0" customWidth="1"/>
    <x:col min="4" max="4" width="12.779999732971191" hidden="0" customWidth="1"/>
    <x:col min="5" max="5" width="11.109999656677246" hidden="0" customWidth="1"/>
    <x:col min="6" max="6" width="12.779999732971191" hidden="0" customWidth="1"/>
    <x:col min="7" max="7" width="15.5600004196167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P10 조달 계획</x:v>
      </x:c>
      <x:c r="B2" s="1"/>
      <x:c r="C2" s="1"/>
      <x:c r="D2" s="1"/>
      <x:c r="E2" s="1"/>
      <x:c r="F2" s="1"/>
      <x:c r="G2" s="1"/>
    </x:row>
    <x:row r="3">
      <x:c r="A3" s="3" t="str">
        <x:v>SYNTHETIC / 가상 자료 · 금액 및 기준은 각 열의 단위 참조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4" customHeight="1">
      <x:c r="A5" s="8" t="str">
        <x:v>PO ID</x:v>
      </x:c>
      <x:c r="B5" s="8" t="str">
        <x:v>설비</x:v>
      </x:c>
      <x:c r="C5" s="8" t="str">
        <x:v>공급사</x:v>
      </x:c>
      <x:c r="D5" s="8" t="str">
        <x:v>제작운송 주</x:v>
      </x:c>
      <x:c r="E5" s="8" t="str">
        <x:v>승인 주</x:v>
      </x:c>
      <x:c r="F5" s="8" t="str">
        <x:v>총 소요 주</x:v>
      </x:c>
      <x:c r="G5" s="8" t="str">
        <x:v>상태</x:v>
      </x:c>
    </x:row>
    <x:row r="6" ht="36" customHeight="1">
      <x:c r="A6" s="11" t="str">
        <x:v>P10-PO01</x:v>
      </x:c>
      <x:c r="B6" s="11" t="str">
        <x:v>배수펌프</x:v>
      </x:c>
      <x:c r="C6" s="11" t="str">
        <x:v>가상공급사 A</x:v>
      </x:c>
      <x:c r="D6" s="11" t="n">
        <x:v>12</x:v>
      </x:c>
      <x:c r="E6" s="11" t="n">
        <x:v>2</x:v>
      </x:c>
      <x:c r="F6" s="11" t="n">
        <x:f>SUM(D6:E6)</x:f>
        <x:v>14</x:v>
      </x:c>
      <x:c r="G6" s="11" t="str">
        <x:v>인수완료</x:v>
      </x:c>
    </x:row>
    <x:row r="7" ht="36" customHeight="1">
      <x:c r="A7" s="10" t="str">
        <x:v>P10-PO02</x:v>
      </x:c>
      <x:c r="B7" s="10" t="str">
        <x:v>주요 구조자재</x:v>
      </x:c>
      <x:c r="C7" s="10" t="str">
        <x:v>가상공급사 B</x:v>
      </x:c>
      <x:c r="D7" s="10" t="n">
        <x:v>16</x:v>
      </x:c>
      <x:c r="E7" s="10" t="n">
        <x:v>3</x:v>
      </x:c>
      <x:c r="F7" s="10" t="n">
        <x:f>SUM(D7:E7)</x:f>
        <x:v>19</x:v>
      </x:c>
      <x:c r="G7" s="10" t="str">
        <x:v>인수완료</x:v>
      </x:c>
    </x:row>
    <x:row r="8" ht="36" customHeight="1">
      <x:c r="A8" s="11" t="str">
        <x:v>P10-PO03</x:v>
      </x:c>
      <x:c r="B8" s="11" t="str">
        <x:v>계측장비</x:v>
      </x:c>
      <x:c r="C8" s="11" t="str">
        <x:v>가상공급사 C</x:v>
      </x:c>
      <x:c r="D8" s="11" t="n">
        <x:v>20</x:v>
      </x:c>
      <x:c r="E8" s="11" t="n">
        <x:v>4</x:v>
      </x:c>
      <x:c r="F8" s="11" t="n">
        <x:f>SUM(D8:E8)</x:f>
        <x:v>24</x:v>
      </x:c>
      <x:c r="G8" s="11" t="str">
        <x:v>인수완료</x:v>
      </x:c>
    </x:row>
    <x:row r="9" ht="36" customHeight="1">
      <x:c r="A9" s="10" t="str">
        <x:v>P10-PO04</x:v>
      </x:c>
      <x:c r="B9" s="10" t="str">
        <x:v>전력설비</x:v>
      </x:c>
      <x:c r="C9" s="10" t="str">
        <x:v>가상공급사 D</x:v>
      </x:c>
      <x:c r="D9" s="10" t="n">
        <x:v>24</x:v>
      </x:c>
      <x:c r="E9" s="10" t="n">
        <x:v>2</x:v>
      </x:c>
      <x:c r="F9" s="10" t="n">
        <x:f>SUM(D9:E9)</x:f>
        <x:v>26</x:v>
      </x:c>
      <x:c r="G9" s="10" t="str">
        <x:v>인수완료</x:v>
      </x:c>
    </x:row>
    <x:row r="10" ht="36" customHeight="1">
      <x:c r="A10" s="11" t="str">
        <x:v>P10-PO05</x:v>
      </x:c>
      <x:c r="B10" s="11" t="str">
        <x:v>처리설비</x:v>
      </x:c>
      <x:c r="C10" s="11" t="str">
        <x:v>가상공급사 E</x:v>
      </x:c>
      <x:c r="D10" s="11" t="n">
        <x:v>28</x:v>
      </x:c>
      <x:c r="E10" s="11" t="n">
        <x:v>3</x:v>
      </x:c>
      <x:c r="F10" s="11" t="n">
        <x:f>SUM(D10:E10)</x:f>
        <x:v>31</x:v>
      </x:c>
      <x:c r="G10" s="11" t="str">
        <x:v>인수완료</x:v>
      </x:c>
    </x:row>
    <x:row r="11" ht="36" customHeight="1">
      <x:c r="A11" s="10" t="str">
        <x:v>P10-PO06</x:v>
      </x:c>
      <x:c r="B11" s="10" t="str">
        <x:v>예비품</x:v>
      </x:c>
      <x:c r="C11" s="10" t="str">
        <x:v>가상공급사 F</x:v>
      </x:c>
      <x:c r="D11" s="10" t="n">
        <x:v>32</x:v>
      </x:c>
      <x:c r="E11" s="10" t="n">
        <x:v>4</x:v>
      </x:c>
      <x:c r="F11" s="10" t="n">
        <x:f>SUM(D11:E11)</x:f>
        <x:v>36</x:v>
      </x:c>
      <x:c r="G11" s="10" t="str">
        <x:v>인수완료</x:v>
      </x:c>
    </x:row>
  </x:sheetData>
  <x:pageMargins left="0.7" right="0.7" top="0.75" bottom="0.75" header="0.3" footer="0.3"/>
  <x:tableParts count="1">
    <x:tablePart xmlns:r="http://schemas.openxmlformats.org/officeDocument/2006/relationships" r:id="R9ad2a76643c5416f"/>
  </x:tableParts>
</x:worksheet>
</file>