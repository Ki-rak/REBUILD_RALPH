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209aa398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2f64d25a984ad2"/>
    <x:sheet xmlns:r="http://schemas.openxmlformats.org/officeDocument/2006/relationships" name="Cost" sheetId="2" r:id="Rac6c6c7c2dab40c8"/>
    <x:sheet xmlns:r="http://schemas.openxmlformats.org/officeDocument/2006/relationships" name="Risk" sheetId="3" r:id="Rb174a5da592d4bd4"/>
    <x:sheet xmlns:r="http://schemas.openxmlformats.org/officeDocument/2006/relationships" name="Procurement" sheetId="4" r:id="R46f3c64e0403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77b81e2f74a4d" /><Relationship Type="http://schemas.openxmlformats.org/officeDocument/2006/relationships/theme" Target="/xl/theme/theme1.xml" Id="R2868703bccd241bd" /><Relationship Type="http://schemas.openxmlformats.org/officeDocument/2006/relationships/sharedStrings" Target="/xl/sharedStrings.xml" Id="Re1052ff455d94afa" /><Relationship Type="http://schemas.openxmlformats.org/officeDocument/2006/relationships/worksheet" Target="/xl/worksheets/sheet1.xml" Id="R3c2f64d25a984ad2" /><Relationship Type="http://schemas.openxmlformats.org/officeDocument/2006/relationships/worksheet" Target="/xl/worksheets/sheet2.xml" Id="Rac6c6c7c2dab40c8" /><Relationship Type="http://schemas.openxmlformats.org/officeDocument/2006/relationships/worksheet" Target="/xl/worksheets/sheet3.xml" Id="Rb174a5da592d4bd4" /><Relationship Type="http://schemas.openxmlformats.org/officeDocument/2006/relationships/worksheet" Target="/xl/worksheets/sheet4.xml" Id="R46f3c64e0403456d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EUR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89d38e442a4b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5faf77af1149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56d763ef8040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5c2a1325894d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P03 원가 및 위험 관리</x:v>
      </x:c>
      <x:c r="B2" s="1"/>
      <x:c r="C2" s="1"/>
    </x:row>
    <x:row r="3">
      <x:c r="A3" s="3" t="str">
        <x:v>P03-COM-001 | SYNTHETIC | Rev01 | 2019-11-14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174</x:v>
      </x:c>
      <x:c r="C6" s="11" t="str">
        <x:v>EUR million / JV 전체</x:v>
      </x:c>
    </x:row>
    <x:row r="7" ht="36" customHeight="1">
      <x:c r="A7" s="10" t="str">
        <x:v>당사 지분</x:v>
      </x:c>
      <x:c r="B7" s="12" t="n">
        <x:v>0.5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87</x:v>
      </x:c>
      <x:c r="C8" s="11" t="str">
        <x:v>EUR million</x:v>
      </x:c>
    </x:row>
    <x:row r="9" ht="36" customHeight="1">
      <x:c r="A9" s="10" t="str">
        <x:v>실행예산</x:v>
      </x:c>
      <x:c r="B9" s="10" t="n">
        <x:f>'Cost'!F16</x:f>
        <x:v>153.12</x:v>
      </x:c>
      <x:c r="C9" s="10" t="str">
        <x:v>EUR million / 신규는 검토용 가정</x:v>
      </x:c>
    </x:row>
    <x:row r="10" ht="36" customHeight="1">
      <x:c r="A10" s="11" t="str">
        <x:v>최종원가</x:v>
      </x:c>
      <x:c r="B10" s="11" t="n">
        <x:f>'Cost'!G16</x:f>
        <x:v>155.22</x:v>
      </x:c>
      <x:c r="C10" s="11" t="str">
        <x:v>EUR million</x:v>
      </x:c>
    </x:row>
    <x:row r="11" ht="36" customHeight="1">
      <x:c r="A11" s="10" t="str">
        <x:v>승인 변경금액</x:v>
      </x:c>
      <x:c r="B11" s="10" t="n">
        <x:v>0.6</x:v>
      </x:c>
      <x:c r="C11" s="10" t="str">
        <x:v>EUR million</x:v>
      </x:c>
    </x:row>
    <x:row r="12" ht="36" customHeight="1">
      <x:c r="A12" s="11" t="str">
        <x:v>최종 계약수입</x:v>
      </x:c>
      <x:c r="B12" s="11" t="n">
        <x:f>SUM(B6,B11)</x:f>
        <x:v>174.6</x:v>
      </x:c>
      <x:c r="C12" s="11" t="str">
        <x:v>EUR million</x:v>
      </x:c>
    </x:row>
    <x:row r="13" ht="36" customHeight="1">
      <x:c r="A13" s="10" t="str">
        <x:v>지체상금 공제</x:v>
      </x:c>
      <x:c r="B13" s="10" t="n">
        <x:v>0.348</x:v>
      </x:c>
      <x:c r="C13" s="10" t="str">
        <x:v>EUR million</x:v>
      </x:c>
    </x:row>
    <x:row r="14" ht="36" customHeight="1">
      <x:c r="A14" s="11" t="str">
        <x:v>공제 후 잔여</x:v>
      </x:c>
      <x:c r="B14" s="11" t="n">
        <x:f>B12-B10-B13</x:f>
        <x:v>19.031999999999996</x:v>
      </x:c>
      <x:c r="C14" s="11" t="str">
        <x:v>세금·금융비용 전 / EUR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4e89d38e442a4b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P03 공종별 원가 (EUR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9.19</x:v>
      </x:c>
      <x:c r="F6" s="13" t="n">
        <x:f>ROUND(C6*E6,2)</x:f>
        <x:v>9.19</x:v>
      </x:c>
      <x:c r="G6" s="13" t="n">
        <x:v>9.19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30</x:v>
      </x:c>
      <x:c r="D7" s="10" t="str">
        <x:v>month</x:v>
      </x:c>
      <x:c r="E7" s="17" t="n">
        <x:v>0.4593333333333333</x:v>
      </x:c>
      <x:c r="F7" s="14" t="n">
        <x:f>ROUND(C7*E7,2)</x:f>
        <x:v>13.78</x:v>
      </x:c>
      <x:c r="G7" s="14" t="n">
        <x:v>15.88</x:v>
      </x:c>
      <x:c r="H7" s="14" t="n">
        <x:f>G7-F7</x:f>
        <x:v>2.1000000000000014</x:v>
      </x:c>
    </x:row>
    <x:row r="8" ht="36" customHeight="1">
      <x:c r="A8" s="11" t="str">
        <x:v>W03</x:v>
      </x:c>
      <x:c r="B8" s="11" t="str">
        <x:v>교각 기초 굴착</x:v>
      </x:c>
      <x:c r="C8" s="18" t="n">
        <x:v>65000</x:v>
      </x:c>
      <x:c r="D8" s="11" t="str">
        <x:v>m3</x:v>
      </x:c>
      <x:c r="E8" s="16" t="n">
        <x:v>0.000424</x:v>
      </x:c>
      <x:c r="F8" s="13" t="n">
        <x:f>ROUND(C8*E8,2)</x:f>
        <x:v>27.56</x:v>
      </x:c>
      <x:c r="G8" s="13" t="n">
        <x:v>27.56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고가교 세그먼트</x:v>
      </x:c>
      <x:c r="C9" s="19" t="n">
        <x:v>62000</x:v>
      </x:c>
      <x:c r="D9" s="10" t="str">
        <x:v>m3</x:v>
      </x:c>
      <x:c r="E9" s="17" t="n">
        <x:v>0.0006174193548387096</x:v>
      </x:c>
      <x:c r="F9" s="14" t="n">
        <x:f>ROUND(C9*E9,2)</x:f>
        <x:v>38.28</x:v>
      </x:c>
      <x:c r="G9" s="14" t="n">
        <x:v>38.28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26</x:v>
      </x:c>
      <x:c r="D10" s="11" t="str">
        <x:v>set</x:v>
      </x:c>
      <x:c r="E10" s="16" t="n">
        <x:v>0.6476923076923077</x:v>
      </x:c>
      <x:c r="F10" s="13" t="n">
        <x:f>ROUND(C10*E10,2)</x:f>
        <x:v>16.84</x:v>
      </x:c>
      <x:c r="G10" s="13" t="n">
        <x:v>16.84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114</x:v>
      </x:c>
      <x:c r="D11" s="10" t="str">
        <x:v>point</x:v>
      </x:c>
      <x:c r="E11" s="17" t="n">
        <x:v>0.1074561403508772</x:v>
      </x:c>
      <x:c r="F11" s="14" t="n">
        <x:f>ROUND(C11*E11,2)</x:f>
        <x:v>12.25</x:v>
      </x:c>
      <x:c r="G11" s="14" t="n">
        <x:v>12.25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16</x:v>
      </x:c>
      <x:c r="D12" s="11" t="str">
        <x:v>location</x:v>
      </x:c>
      <x:c r="E12" s="16" t="n">
        <x:v>0.67</x:v>
      </x:c>
      <x:c r="F12" s="13" t="n">
        <x:f>ROUND(C12*E12,2)</x:f>
        <x:v>10.72</x:v>
      </x:c>
      <x:c r="G12" s="13" t="n">
        <x:v>10.72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33000</x:v>
      </x:c>
      <x:c r="D13" s="10" t="str">
        <x:v>m2</x:v>
      </x:c>
      <x:c r="E13" s="17" t="n">
        <x:v>0.00018545454545454545</x:v>
      </x:c>
      <x:c r="F13" s="14" t="n">
        <x:f>ROUND(C13*E13,2)</x:f>
        <x:v>6.12</x:v>
      </x:c>
      <x:c r="G13" s="14" t="n">
        <x:v>6.12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30</x:v>
      </x:c>
      <x:c r="D14" s="11" t="str">
        <x:v>month</x:v>
      </x:c>
      <x:c r="E14" s="16" t="n">
        <x:v>0.4083333333333333</x:v>
      </x:c>
      <x:c r="F14" s="13" t="n">
        <x:f>ROUND(C14*E14,2)</x:f>
        <x:v>12.25</x:v>
      </x:c>
      <x:c r="G14" s="13" t="n">
        <x:v>12.25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6.13</x:v>
      </x:c>
      <x:c r="F15" s="14" t="n">
        <x:f>ROUND(C15*E15,2)</x:f>
        <x:v>6.13</x:v>
      </x:c>
      <x:c r="G15" s="14" t="n">
        <x:v>6.13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153.12</x:v>
      </x:c>
      <x:c r="G16" s="15" t="n">
        <x:f>SUM(G6:G15)</x:f>
        <x:v>155.22</x:v>
      </x:c>
      <x:c r="H16" s="15" t="n">
        <x:f>G16-F16</x:f>
        <x:v>2.0999999999999943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8e5faf77af1149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P03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P03-RISK-001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(EUR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P03-R01</x:v>
      </x:c>
      <x:c r="B6" s="11" t="str">
        <x:v>야간 가설창과 운송 제약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2.1</x:v>
      </x:c>
      <x:c r="H6" s="11" t="n">
        <x:v>12</x:v>
      </x:c>
      <x:c r="I6" s="11" t="str">
        <x:v>종결</x:v>
      </x:c>
      <x:c r="J6" s="11" t="str">
        <x:v>소형 운반대차를 추가하고 교각별 임시 적치 가능 수량을 운송계획에 반영했다.</x:v>
      </x:c>
      <x:c r="K6" s="11" t="str">
        <x:v>P03-BRF-001 / P03-LL01</x:v>
      </x:c>
    </x:row>
    <x:row r="7" ht="65" customHeight="1">
      <x:c r="A7" s="10" t="str">
        <x:v>P03-R02</x:v>
      </x:c>
      <x:c r="B7" s="10" t="str">
        <x:v>세그먼트 치수 불일치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반출 전 치수검사와 현장 수입검사의 책임을 계약서에 나눈다.</x:v>
      </x:c>
      <x:c r="K7" s="10" t="str">
        <x:v>P03-BRF-001 / P03-LL02</x:v>
      </x:c>
    </x:row>
    <x:row r="8" ht="65" customHeight="1">
      <x:c r="A8" s="11" t="str">
        <x:v>P03-R03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P03-BRF-001 / P03-LL03</x:v>
      </x:c>
    </x:row>
    <x:row r="9" ht="65" customHeight="1">
      <x:c r="A9" s="10" t="str">
        <x:v>P03-R04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P03-BRF-001 / P03-LL03</x:v>
      </x:c>
    </x:row>
    <x:row r="10" ht="65" customHeight="1">
      <x:c r="A10" s="11" t="str">
        <x:v>P03-R05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P03-BRF-001 / P03-LL03</x:v>
      </x:c>
    </x:row>
    <x:row r="11" ht="65" customHeight="1">
      <x:c r="A11" s="10" t="str">
        <x:v>P03-R06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P03-BRF-001 / P03-LL03</x:v>
      </x:c>
    </x:row>
    <x:row r="12" ht="65" customHeight="1">
      <x:c r="A12" s="11" t="str">
        <x:v>P03-R07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P03-BRF-001 / P03-LL03</x:v>
      </x:c>
    </x:row>
    <x:row r="13" ht="65" customHeight="1">
      <x:c r="A13" s="10" t="str">
        <x:v>P03-R08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P03-BRF-001 / P03-LL03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756d763ef8040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P03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P03-PO01</x:v>
      </x:c>
      <x:c r="B6" s="11" t="str">
        <x:v>배수펌프</x:v>
      </x:c>
      <x:c r="C6" s="11" t="str">
        <x:v>가상공급사 A</x:v>
      </x:c>
      <x:c r="D6" s="11" t="n">
        <x:v>16</x:v>
      </x:c>
      <x:c r="E6" s="11" t="n">
        <x:v>2</x:v>
      </x:c>
      <x:c r="F6" s="11" t="n">
        <x:f>SUM(D6:E6)</x:f>
        <x:v>18</x:v>
      </x:c>
      <x:c r="G6" s="11" t="str">
        <x:v>인수완료</x:v>
      </x:c>
    </x:row>
    <x:row r="7" ht="36" customHeight="1">
      <x:c r="A7" s="10" t="str">
        <x:v>P03-PO02</x:v>
      </x:c>
      <x:c r="B7" s="10" t="str">
        <x:v>주요 구조자재</x:v>
      </x:c>
      <x:c r="C7" s="10" t="str">
        <x:v>가상공급사 B</x:v>
      </x:c>
      <x:c r="D7" s="10" t="n">
        <x:v>20</x:v>
      </x:c>
      <x:c r="E7" s="10" t="n">
        <x:v>3</x:v>
      </x:c>
      <x:c r="F7" s="10" t="n">
        <x:f>SUM(D7:E7)</x:f>
        <x:v>23</x:v>
      </x:c>
      <x:c r="G7" s="10" t="str">
        <x:v>인수완료</x:v>
      </x:c>
    </x:row>
    <x:row r="8" ht="36" customHeight="1">
      <x:c r="A8" s="11" t="str">
        <x:v>P03-PO03</x:v>
      </x:c>
      <x:c r="B8" s="11" t="str">
        <x:v>계측장비</x:v>
      </x:c>
      <x:c r="C8" s="11" t="str">
        <x:v>가상공급사 C</x:v>
      </x:c>
      <x:c r="D8" s="11" t="n">
        <x:v>24</x:v>
      </x:c>
      <x:c r="E8" s="11" t="n">
        <x:v>4</x:v>
      </x:c>
      <x:c r="F8" s="11" t="n">
        <x:f>SUM(D8:E8)</x:f>
        <x:v>28</x:v>
      </x:c>
      <x:c r="G8" s="11" t="str">
        <x:v>인수완료</x:v>
      </x:c>
    </x:row>
    <x:row r="9" ht="36" customHeight="1">
      <x:c r="A9" s="10" t="str">
        <x:v>P03-PO04</x:v>
      </x:c>
      <x:c r="B9" s="10" t="str">
        <x:v>전력설비</x:v>
      </x:c>
      <x:c r="C9" s="10" t="str">
        <x:v>가상공급사 D</x:v>
      </x:c>
      <x:c r="D9" s="10" t="n">
        <x:v>28</x:v>
      </x:c>
      <x:c r="E9" s="10" t="n">
        <x:v>2</x:v>
      </x:c>
      <x:c r="F9" s="10" t="n">
        <x:f>SUM(D9:E9)</x:f>
        <x:v>30</x:v>
      </x:c>
      <x:c r="G9" s="10" t="str">
        <x:v>인수완료</x:v>
      </x:c>
    </x:row>
    <x:row r="10" ht="36" customHeight="1">
      <x:c r="A10" s="11" t="str">
        <x:v>P03-PO05</x:v>
      </x:c>
      <x:c r="B10" s="11" t="str">
        <x:v>처리설비</x:v>
      </x:c>
      <x:c r="C10" s="11" t="str">
        <x:v>가상공급사 E</x:v>
      </x:c>
      <x:c r="D10" s="11" t="n">
        <x:v>32</x:v>
      </x:c>
      <x:c r="E10" s="11" t="n">
        <x:v>3</x:v>
      </x:c>
      <x:c r="F10" s="11" t="n">
        <x:f>SUM(D10:E10)</x:f>
        <x:v>35</x:v>
      </x:c>
      <x:c r="G10" s="11" t="str">
        <x:v>인수완료</x:v>
      </x:c>
    </x:row>
    <x:row r="11" ht="36" customHeight="1">
      <x:c r="A11" s="10" t="str">
        <x:v>P03-PO06</x:v>
      </x:c>
      <x:c r="B11" s="10" t="str">
        <x:v>예비품</x:v>
      </x:c>
      <x:c r="C11" s="10" t="str">
        <x:v>가상공급사 F</x:v>
      </x:c>
      <x:c r="D11" s="10" t="n">
        <x:v>36</x:v>
      </x:c>
      <x:c r="E11" s="10" t="n">
        <x:v>4</x:v>
      </x:c>
      <x:c r="F11" s="10" t="n">
        <x:f>SUM(D11:E11)</x:f>
        <x:v>40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c25c2a1325894dea"/>
  </x:tableParts>
</x:worksheet>
</file>