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7a178b1e4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aa548e161c41f2"/>
    <x:sheet xmlns:r="http://schemas.openxmlformats.org/officeDocument/2006/relationships" name="Cost" sheetId="2" r:id="Ree8b88d06cdf4278"/>
    <x:sheet xmlns:r="http://schemas.openxmlformats.org/officeDocument/2006/relationships" name="Risk" sheetId="3" r:id="Rc3640f81526248b5"/>
    <x:sheet xmlns:r="http://schemas.openxmlformats.org/officeDocument/2006/relationships" name="Procurement" sheetId="4" r:id="Raec53504bc5d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e1f2b726f4f95" /><Relationship Type="http://schemas.openxmlformats.org/officeDocument/2006/relationships/theme" Target="/xl/theme/theme1.xml" Id="R29eeb30754094df0" /><Relationship Type="http://schemas.openxmlformats.org/officeDocument/2006/relationships/sharedStrings" Target="/xl/sharedStrings.xml" Id="Radc26055066f447d" /><Relationship Type="http://schemas.openxmlformats.org/officeDocument/2006/relationships/worksheet" Target="/xl/worksheets/sheet1.xml" Id="R20aa548e161c41f2" /><Relationship Type="http://schemas.openxmlformats.org/officeDocument/2006/relationships/worksheet" Target="/xl/worksheets/sheet2.xml" Id="Ree8b88d06cdf4278" /><Relationship Type="http://schemas.openxmlformats.org/officeDocument/2006/relationships/worksheet" Target="/xl/worksheets/sheet3.xml" Id="Rc3640f81526248b5" /><Relationship Type="http://schemas.openxmlformats.org/officeDocument/2006/relationships/worksheet" Target="/xl/worksheets/sheet4.xml" Id="Raec53504bc5d46d2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EUR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0adf596e445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5a909f3b4e44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707854e47d42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509704ae8342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P15 원가 및 위험 관리</x:v>
      </x:c>
      <x:c r="B2" s="1"/>
      <x:c r="C2" s="1"/>
    </x:row>
    <x:row r="3">
      <x:c r="A3" s="3" t="str">
        <x:v>P15-COM-001 | SYNTHETIC | Rev01 | 2019-02-23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88</x:v>
      </x:c>
      <x:c r="C6" s="11" t="str">
        <x:v>EUR million / JV 전체</x:v>
      </x:c>
    </x:row>
    <x:row r="7" ht="36" customHeight="1">
      <x:c r="A7" s="10" t="str">
        <x:v>당사 지분</x:v>
      </x:c>
      <x:c r="B7" s="12" t="n">
        <x:v>0.65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57.2</x:v>
      </x:c>
      <x:c r="C8" s="11" t="str">
        <x:v>EUR million</x:v>
      </x:c>
    </x:row>
    <x:row r="9" ht="36" customHeight="1">
      <x:c r="A9" s="10" t="str">
        <x:v>실행예산</x:v>
      </x:c>
      <x:c r="B9" s="10" t="n">
        <x:f>'Cost'!F16</x:f>
        <x:v>77.44</x:v>
      </x:c>
      <x:c r="C9" s="10" t="str">
        <x:v>EUR million / 신규는 검토용 가정</x:v>
      </x:c>
    </x:row>
    <x:row r="10" ht="36" customHeight="1">
      <x:c r="A10" s="11" t="str">
        <x:v>최종원가</x:v>
      </x:c>
      <x:c r="B10" s="11" t="n">
        <x:f>'Cost'!G16</x:f>
        <x:v>79.14</x:v>
      </x:c>
      <x:c r="C10" s="11" t="str">
        <x:v>EUR million</x:v>
      </x:c>
    </x:row>
    <x:row r="11" ht="36" customHeight="1">
      <x:c r="A11" s="10" t="str">
        <x:v>승인 변경금액</x:v>
      </x:c>
      <x:c r="B11" s="10" t="n">
        <x:v>0.7</x:v>
      </x:c>
      <x:c r="C11" s="10" t="str">
        <x:v>EUR million</x:v>
      </x:c>
    </x:row>
    <x:row r="12" ht="36" customHeight="1">
      <x:c r="A12" s="11" t="str">
        <x:v>최종 계약수입</x:v>
      </x:c>
      <x:c r="B12" s="11" t="n">
        <x:f>SUM(B6,B11)</x:f>
        <x:v>88.7</x:v>
      </x:c>
      <x:c r="C12" s="11" t="str">
        <x:v>EUR million</x:v>
      </x:c>
    </x:row>
    <x:row r="13" ht="36" customHeight="1">
      <x:c r="A13" s="10" t="str">
        <x:v>지체상금 공제</x:v>
      </x:c>
      <x:c r="B13" s="10" t="n">
        <x:v>0.264</x:v>
      </x:c>
      <x:c r="C13" s="10" t="str">
        <x:v>EUR million</x:v>
      </x:c>
    </x:row>
    <x:row r="14" ht="36" customHeight="1">
      <x:c r="A14" s="11" t="str">
        <x:v>공제 후 잔여</x:v>
      </x:c>
      <x:c r="B14" s="11" t="n">
        <x:f>B12-B10-B13</x:f>
        <x:v>9.296000000000003</x:v>
      </x:c>
      <x:c r="C14" s="11" t="str">
        <x:v>세금·금융비용 전 / EUR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e0f0adf596e4453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P15 공종별 원가 (EUR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4.65</x:v>
      </x:c>
      <x:c r="F6" s="13" t="n">
        <x:f>ROUND(C6*E6,2)</x:f>
        <x:v>4.65</x:v>
      </x:c>
      <x:c r="G6" s="13" t="n">
        <x:v>4.65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21</x:v>
      </x:c>
      <x:c r="D7" s="10" t="str">
        <x:v>month</x:v>
      </x:c>
      <x:c r="E7" s="17" t="n">
        <x:v>0.33190476190476187</x:v>
      </x:c>
      <x:c r="F7" s="14" t="n">
        <x:f>ROUND(C7*E7,2)</x:f>
        <x:v>6.97</x:v>
      </x:c>
      <x:c r="G7" s="14" t="n">
        <x:v>6.97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사면 절취 및 보강</x:v>
      </x:c>
      <x:c r="C8" s="18" t="n">
        <x:v>240000</x:v>
      </x:c>
      <x:c r="D8" s="11" t="str">
        <x:v>m3</x:v>
      </x:c>
      <x:c r="E8" s="16" t="n">
        <x:v>0.000058083333333333333</x:v>
      </x:c>
      <x:c r="F8" s="13" t="n">
        <x:f>ROUND(C8*E8,2)</x:f>
        <x:v>13.94</x:v>
      </x:c>
      <x:c r="G8" s="13" t="n">
        <x:v>15.64</x:v>
      </x:c>
      <x:c r="H8" s="13" t="n">
        <x:f>G8-F8</x:f>
        <x:v>1.700000000000001</x:v>
      </x:c>
    </x:row>
    <x:row r="9" ht="36" customHeight="1">
      <x:c r="A9" s="10" t="str">
        <x:v>W04</x:v>
      </x:c>
      <x:c r="B9" s="10" t="str">
        <x:v>옹벽 및 앵커</x:v>
      </x:c>
      <x:c r="C9" s="19" t="n">
        <x:v>29000</x:v>
      </x:c>
      <x:c r="D9" s="10" t="str">
        <x:v>m3</x:v>
      </x:c>
      <x:c r="E9" s="17" t="n">
        <x:v>0.0006675862068965517</x:v>
      </x:c>
      <x:c r="F9" s="14" t="n">
        <x:f>ROUND(C9*E9,2)</x:f>
        <x:v>19.36</x:v>
      </x:c>
      <x:c r="G9" s="14" t="n">
        <x:v>19.36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18</x:v>
      </x:c>
      <x:c r="D10" s="11" t="str">
        <x:v>set</x:v>
      </x:c>
      <x:c r="E10" s="16" t="n">
        <x:v>0.47333333333333333</x:v>
      </x:c>
      <x:c r="F10" s="13" t="n">
        <x:f>ROUND(C10*E10,2)</x:f>
        <x:v>8.52</x:v>
      </x:c>
      <x:c r="G10" s="13" t="n">
        <x:v>8.52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258</x:v>
      </x:c>
      <x:c r="D11" s="10" t="str">
        <x:v>point</x:v>
      </x:c>
      <x:c r="E11" s="17" t="n">
        <x:v>0.024031007751937984</x:v>
      </x:c>
      <x:c r="F11" s="14" t="n">
        <x:f>ROUND(C11*E11,2)</x:f>
        <x:v>6.2</x:v>
      </x:c>
      <x:c r="G11" s="14" t="n">
        <x:v>6.2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40</x:v>
      </x:c>
      <x:c r="D12" s="11" t="str">
        <x:v>location</x:v>
      </x:c>
      <x:c r="E12" s="16" t="n">
        <x:v>0.1355</x:v>
      </x:c>
      <x:c r="F12" s="13" t="n">
        <x:f>ROUND(C12*E12,2)</x:f>
        <x:v>5.42</x:v>
      </x:c>
      <x:c r="G12" s="13" t="n">
        <x:v>5.42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75000</x:v>
      </x:c>
      <x:c r="D13" s="10" t="str">
        <x:v>m2</x:v>
      </x:c>
      <x:c r="E13" s="17" t="n">
        <x:v>0.00004133333333333333</x:v>
      </x:c>
      <x:c r="F13" s="14" t="n">
        <x:f>ROUND(C13*E13,2)</x:f>
        <x:v>3.1</x:v>
      </x:c>
      <x:c r="G13" s="14" t="n">
        <x:v>3.1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21</x:v>
      </x:c>
      <x:c r="D14" s="11" t="str">
        <x:v>month</x:v>
      </x:c>
      <x:c r="E14" s="16" t="n">
        <x:v>0.29523809523809524</x:v>
      </x:c>
      <x:c r="F14" s="13" t="n">
        <x:f>ROUND(C14*E14,2)</x:f>
        <x:v>6.2</x:v>
      </x:c>
      <x:c r="G14" s="13" t="n">
        <x:v>6.2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3.08</x:v>
      </x:c>
      <x:c r="F15" s="14" t="n">
        <x:f>ROUND(C15*E15,2)</x:f>
        <x:v>3.08</x:v>
      </x:c>
      <x:c r="G15" s="14" t="n">
        <x:v>3.08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77.44</x:v>
      </x:c>
      <x:c r="G16" s="15" t="n">
        <x:f>SUM(G6:G15)</x:f>
        <x:v>79.14</x:v>
      </x:c>
      <x:c r="H16" s="15" t="n">
        <x:f>G16-F16</x:f>
        <x:v>1.7000000000000028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ee5a909f3b4e44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P15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P15-RISK-001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(EUR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P15-R01</x:v>
      </x:c>
      <x:c r="B6" s="11" t="str">
        <x:v>사면 조사 누락과 우기 접근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1.7</x:v>
      </x:c>
      <x:c r="H6" s="11" t="n">
        <x:v>18</x:v>
      </x:c>
      <x:c r="I6" s="11" t="str">
        <x:v>종결</x:v>
      </x:c>
      <x:c r="J6" s="11" t="str">
        <x:v>보완 시추와 인발시험을 실시하고 우기 장비 접근로를 별도로 확보했다.</x:v>
      </x:c>
      <x:c r="K6" s="11" t="str">
        <x:v>P15-BRF-001 / P15-LL01</x:v>
      </x:c>
    </x:row>
    <x:row r="7" ht="65" customHeight="1">
      <x:c r="A7" s="10" t="str">
        <x:v>P15-R02</x:v>
      </x:c>
      <x:c r="B7" s="10" t="str">
        <x:v>가설도로 파랑 피해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임시 접근시설의 계절별 사용성을 공기와 비용에 반영한다.</x:v>
      </x:c>
      <x:c r="K7" s="10" t="str">
        <x:v>P15-BRF-001 / P15-LL02</x:v>
      </x:c>
    </x:row>
    <x:row r="8" ht="65" customHeight="1">
      <x:c r="A8" s="11" t="str">
        <x:v>P15-R03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P15-BRF-001 / P15-LL03</x:v>
      </x:c>
    </x:row>
    <x:row r="9" ht="65" customHeight="1">
      <x:c r="A9" s="10" t="str">
        <x:v>P15-R04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P15-BRF-001 / P15-LL03</x:v>
      </x:c>
    </x:row>
    <x:row r="10" ht="65" customHeight="1">
      <x:c r="A10" s="11" t="str">
        <x:v>P15-R05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P15-BRF-001 / P15-LL03</x:v>
      </x:c>
    </x:row>
    <x:row r="11" ht="65" customHeight="1">
      <x:c r="A11" s="10" t="str">
        <x:v>P15-R06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P15-BRF-001 / P15-LL03</x:v>
      </x:c>
    </x:row>
    <x:row r="12" ht="65" customHeight="1">
      <x:c r="A12" s="11" t="str">
        <x:v>P15-R07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P15-BRF-001 / P15-LL03</x:v>
      </x:c>
    </x:row>
    <x:row r="13" ht="65" customHeight="1">
      <x:c r="A13" s="10" t="str">
        <x:v>P15-R08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P15-BRF-001 / P15-LL03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707854e47d42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P15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P15-PO01</x:v>
      </x:c>
      <x:c r="B6" s="11" t="str">
        <x:v>배수펌프</x:v>
      </x:c>
      <x:c r="C6" s="11" t="str">
        <x:v>가상공급사 A</x:v>
      </x:c>
      <x:c r="D6" s="11" t="n">
        <x:v>16</x:v>
      </x:c>
      <x:c r="E6" s="11" t="n">
        <x:v>2</x:v>
      </x:c>
      <x:c r="F6" s="11" t="n">
        <x:f>SUM(D6:E6)</x:f>
        <x:v>18</x:v>
      </x:c>
      <x:c r="G6" s="11" t="str">
        <x:v>인수완료</x:v>
      </x:c>
    </x:row>
    <x:row r="7" ht="36" customHeight="1">
      <x:c r="A7" s="10" t="str">
        <x:v>P15-PO02</x:v>
      </x:c>
      <x:c r="B7" s="10" t="str">
        <x:v>주요 구조자재</x:v>
      </x:c>
      <x:c r="C7" s="10" t="str">
        <x:v>가상공급사 B</x:v>
      </x:c>
      <x:c r="D7" s="10" t="n">
        <x:v>20</x:v>
      </x:c>
      <x:c r="E7" s="10" t="n">
        <x:v>3</x:v>
      </x:c>
      <x:c r="F7" s="10" t="n">
        <x:f>SUM(D7:E7)</x:f>
        <x:v>23</x:v>
      </x:c>
      <x:c r="G7" s="10" t="str">
        <x:v>인수완료</x:v>
      </x:c>
    </x:row>
    <x:row r="8" ht="36" customHeight="1">
      <x:c r="A8" s="11" t="str">
        <x:v>P15-PO03</x:v>
      </x:c>
      <x:c r="B8" s="11" t="str">
        <x:v>계측장비</x:v>
      </x:c>
      <x:c r="C8" s="11" t="str">
        <x:v>가상공급사 C</x:v>
      </x:c>
      <x:c r="D8" s="11" t="n">
        <x:v>24</x:v>
      </x:c>
      <x:c r="E8" s="11" t="n">
        <x:v>4</x:v>
      </x:c>
      <x:c r="F8" s="11" t="n">
        <x:f>SUM(D8:E8)</x:f>
        <x:v>28</x:v>
      </x:c>
      <x:c r="G8" s="11" t="str">
        <x:v>인수완료</x:v>
      </x:c>
    </x:row>
    <x:row r="9" ht="36" customHeight="1">
      <x:c r="A9" s="10" t="str">
        <x:v>P15-PO04</x:v>
      </x:c>
      <x:c r="B9" s="10" t="str">
        <x:v>전력설비</x:v>
      </x:c>
      <x:c r="C9" s="10" t="str">
        <x:v>가상공급사 D</x:v>
      </x:c>
      <x:c r="D9" s="10" t="n">
        <x:v>28</x:v>
      </x:c>
      <x:c r="E9" s="10" t="n">
        <x:v>2</x:v>
      </x:c>
      <x:c r="F9" s="10" t="n">
        <x:f>SUM(D9:E9)</x:f>
        <x:v>30</x:v>
      </x:c>
      <x:c r="G9" s="10" t="str">
        <x:v>인수완료</x:v>
      </x:c>
    </x:row>
    <x:row r="10" ht="36" customHeight="1">
      <x:c r="A10" s="11" t="str">
        <x:v>P15-PO05</x:v>
      </x:c>
      <x:c r="B10" s="11" t="str">
        <x:v>처리설비</x:v>
      </x:c>
      <x:c r="C10" s="11" t="str">
        <x:v>가상공급사 E</x:v>
      </x:c>
      <x:c r="D10" s="11" t="n">
        <x:v>32</x:v>
      </x:c>
      <x:c r="E10" s="11" t="n">
        <x:v>3</x:v>
      </x:c>
      <x:c r="F10" s="11" t="n">
        <x:f>SUM(D10:E10)</x:f>
        <x:v>35</x:v>
      </x:c>
      <x:c r="G10" s="11" t="str">
        <x:v>인수완료</x:v>
      </x:c>
    </x:row>
    <x:row r="11" ht="36" customHeight="1">
      <x:c r="A11" s="10" t="str">
        <x:v>P15-PO06</x:v>
      </x:c>
      <x:c r="B11" s="10" t="str">
        <x:v>예비품</x:v>
      </x:c>
      <x:c r="C11" s="10" t="str">
        <x:v>가상공급사 F</x:v>
      </x:c>
      <x:c r="D11" s="10" t="n">
        <x:v>36</x:v>
      </x:c>
      <x:c r="E11" s="10" t="n">
        <x:v>4</x:v>
      </x:c>
      <x:c r="F11" s="10" t="n">
        <x:f>SUM(D11:E11)</x:f>
        <x:v>40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4e509704ae8342b4"/>
  </x:tableParts>
</x:worksheet>
</file>