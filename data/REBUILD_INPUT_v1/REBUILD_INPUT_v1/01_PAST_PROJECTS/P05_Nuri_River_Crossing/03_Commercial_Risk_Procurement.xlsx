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e9b7a1947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e1978b8ce04218"/>
    <x:sheet xmlns:r="http://schemas.openxmlformats.org/officeDocument/2006/relationships" name="Cost" sheetId="2" r:id="Rd2963769839444ae"/>
    <x:sheet xmlns:r="http://schemas.openxmlformats.org/officeDocument/2006/relationships" name="Risk" sheetId="3" r:id="R32eac628091e48fb"/>
    <x:sheet xmlns:r="http://schemas.openxmlformats.org/officeDocument/2006/relationships" name="Procurement" sheetId="4" r:id="R3e399430df83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f3bb17c9f4c1b" /><Relationship Type="http://schemas.openxmlformats.org/officeDocument/2006/relationships/theme" Target="/xl/theme/theme1.xml" Id="R9622abf541f44d0a" /><Relationship Type="http://schemas.openxmlformats.org/officeDocument/2006/relationships/sharedStrings" Target="/xl/sharedStrings.xml" Id="Rfebc94a5db3140c9" /><Relationship Type="http://schemas.openxmlformats.org/officeDocument/2006/relationships/worksheet" Target="/xl/worksheets/sheet1.xml" Id="Ra3e1978b8ce04218" /><Relationship Type="http://schemas.openxmlformats.org/officeDocument/2006/relationships/worksheet" Target="/xl/worksheets/sheet2.xml" Id="Rd2963769839444ae" /><Relationship Type="http://schemas.openxmlformats.org/officeDocument/2006/relationships/worksheet" Target="/xl/worksheets/sheet3.xml" Id="R32eac628091e48fb" /><Relationship Type="http://schemas.openxmlformats.org/officeDocument/2006/relationships/worksheet" Target="/xl/worksheets/sheet4.xml" Id="R3e399430df834997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c44ccd04cf49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b0d8f8658240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01ff85c99c43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0d7c207e8b43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P05 원가 및 위험 관리</x:v>
      </x:c>
      <x:c r="B2" s="1"/>
      <x:c r="C2" s="1"/>
    </x:row>
    <x:row r="3">
      <x:c r="A3" s="3" t="str">
        <x:v>P05-COM-001 | SYNTHETIC | Rev01 | 2021-07-21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126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0.7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88.19999999999999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110.88000000000002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113.78000000000003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0.8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126.8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0.378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12.641999999999967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1fc44ccd04cf492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P05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6.65</x:v>
      </x:c>
      <x:c r="F6" s="13" t="n">
        <x:f>ROUND(C6*E6,2)</x:f>
        <x:v>6.65</x:v>
      </x:c>
      <x:c r="G6" s="13" t="n">
        <x:v>6.65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28</x:v>
      </x:c>
      <x:c r="D7" s="10" t="str">
        <x:v>month</x:v>
      </x:c>
      <x:c r="E7" s="17" t="n">
        <x:v>0.35642857142857143</x:v>
      </x:c>
      <x:c r="F7" s="14" t="n">
        <x:f>ROUND(C7*E7,2)</x:f>
        <x:v>9.98</x:v>
      </x:c>
      <x:c r="G7" s="14" t="n">
        <x:v>12.88</x:v>
      </x:c>
      <x:c r="H7" s="14" t="n">
        <x:f>G7-F7</x:f>
        <x:v>2.9000000000000004</x:v>
      </x:c>
    </x:row>
    <x:row r="8" ht="36" customHeight="1">
      <x:c r="A8" s="11" t="str">
        <x:v>W03</x:v>
      </x:c>
      <x:c r="B8" s="11" t="str">
        <x:v>교각 기초 굴착</x:v>
      </x:c>
      <x:c r="C8" s="18" t="n">
        <x:v>85000</x:v>
      </x:c>
      <x:c r="D8" s="11" t="str">
        <x:v>m3</x:v>
      </x:c>
      <x:c r="E8" s="16" t="n">
        <x:v>0.00023482352941176472</x:v>
      </x:c>
      <x:c r="F8" s="13" t="n">
        <x:f>ROUND(C8*E8,2)</x:f>
        <x:v>19.96</x:v>
      </x:c>
      <x:c r="G8" s="13" t="n">
        <x:v>19.96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교량 상하부공</x:v>
      </x:c>
      <x:c r="C9" s="19" t="n">
        <x:v>38000</x:v>
      </x:c>
      <x:c r="D9" s="10" t="str">
        <x:v>m3</x:v>
      </x:c>
      <x:c r="E9" s="17" t="n">
        <x:v>0.0007294736842105262</x:v>
      </x:c>
      <x:c r="F9" s="14" t="n">
        <x:f>ROUND(C9*E9,2)</x:f>
        <x:v>27.72</x:v>
      </x:c>
      <x:c r="G9" s="14" t="n">
        <x:v>27.72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34</x:v>
      </x:c>
      <x:c r="D10" s="11" t="str">
        <x:v>set</x:v>
      </x:c>
      <x:c r="E10" s="16" t="n">
        <x:v>0.3588235294117647</x:v>
      </x:c>
      <x:c r="F10" s="13" t="n">
        <x:f>ROUND(C10*E10,2)</x:f>
        <x:v>12.2</x:v>
      </x:c>
      <x:c r="G10" s="13" t="n">
        <x:v>12.2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138</x:v>
      </x:c>
      <x:c r="D11" s="10" t="str">
        <x:v>point</x:v>
      </x:c>
      <x:c r="E11" s="17" t="n">
        <x:v>0.06427536231884057</x:v>
      </x:c>
      <x:c r="F11" s="14" t="n">
        <x:f>ROUND(C11*E11,2)</x:f>
        <x:v>8.87</x:v>
      </x:c>
      <x:c r="G11" s="14" t="n">
        <x:v>8.87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20</x:v>
      </x:c>
      <x:c r="D12" s="11" t="str">
        <x:v>location</x:v>
      </x:c>
      <x:c r="E12" s="16" t="n">
        <x:v>0.388</x:v>
      </x:c>
      <x:c r="F12" s="13" t="n">
        <x:f>ROUND(C12*E12,2)</x:f>
        <x:v>7.76</x:v>
      </x:c>
      <x:c r="G12" s="13" t="n">
        <x:v>7.76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40000</x:v>
      </x:c>
      <x:c r="D13" s="10" t="str">
        <x:v>m2</x:v>
      </x:c>
      <x:c r="E13" s="17" t="n">
        <x:v>0.00011100000000000001</x:v>
      </x:c>
      <x:c r="F13" s="14" t="n">
        <x:f>ROUND(C13*E13,2)</x:f>
        <x:v>4.44</x:v>
      </x:c>
      <x:c r="G13" s="14" t="n">
        <x:v>4.44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28</x:v>
      </x:c>
      <x:c r="D14" s="11" t="str">
        <x:v>month</x:v>
      </x:c>
      <x:c r="E14" s="16" t="n">
        <x:v>0.3167857142857143</x:v>
      </x:c>
      <x:c r="F14" s="13" t="n">
        <x:f>ROUND(C14*E14,2)</x:f>
        <x:v>8.87</x:v>
      </x:c>
      <x:c r="G14" s="13" t="n">
        <x:v>8.87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4.43</x:v>
      </x:c>
      <x:c r="F15" s="14" t="n">
        <x:f>ROUND(C15*E15,2)</x:f>
        <x:v>4.43</x:v>
      </x:c>
      <x:c r="G15" s="14" t="n">
        <x:v>4.43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110.88000000000002</x:v>
      </x:c>
      <x:c r="G16" s="15" t="n">
        <x:f>SUM(G6:G15)</x:f>
        <x:v>113.78000000000003</x:v>
      </x:c>
      <x:c r="H16" s="15" t="n">
        <x:f>G16-F16</x:f>
        <x:v>2.9000000000000057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50b0d8f8658240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P05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P05-RISK-001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P05-R01</x:v>
      </x:c>
      <x:c r="B6" s="11" t="str">
        <x:v>우기 가물막이 침수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2.9</x:v>
      </x:c>
      <x:c r="H6" s="11" t="n">
        <x:v>16</x:v>
      </x:c>
      <x:c r="I6" s="11" t="str">
        <x:v>종결</x:v>
      </x:c>
      <x:c r="J6" s="11" t="str">
        <x:v>상류 수위 관측과 단계별 철수 기준을 운영하고 비우기 중심으로 수중 공정을 재배치했다.</x:v>
      </x:c>
      <x:c r="K6" s="11" t="str">
        <x:v>P05-BRF-001 / P05-LL01</x:v>
      </x:c>
    </x:row>
    <x:row r="7" ht="65" customHeight="1">
      <x:c r="A7" s="10" t="str">
        <x:v>P05-R02</x:v>
      </x:c>
      <x:c r="B7" s="10" t="str">
        <x:v>계약 통지기한 경과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계약상 통지는 지정 수신인과 기한을 따로 관리한다.</x:v>
      </x:c>
      <x:c r="K7" s="10" t="str">
        <x:v>P05-BRF-001 / P05-LL02</x:v>
      </x:c>
    </x:row>
    <x:row r="8" ht="65" customHeight="1">
      <x:c r="A8" s="11" t="str">
        <x:v>P05-R03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P05-BRF-001 / P05-LL03</x:v>
      </x:c>
    </x:row>
    <x:row r="9" ht="65" customHeight="1">
      <x:c r="A9" s="10" t="str">
        <x:v>P05-R04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P05-BRF-001 / P05-LL03</x:v>
      </x:c>
    </x:row>
    <x:row r="10" ht="65" customHeight="1">
      <x:c r="A10" s="11" t="str">
        <x:v>P05-R05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P05-BRF-001 / P05-LL03</x:v>
      </x:c>
    </x:row>
    <x:row r="11" ht="65" customHeight="1">
      <x:c r="A11" s="10" t="str">
        <x:v>P05-R06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P05-BRF-001 / P05-LL03</x:v>
      </x:c>
    </x:row>
    <x:row r="12" ht="65" customHeight="1">
      <x:c r="A12" s="11" t="str">
        <x:v>P05-R07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P05-BRF-001 / P05-LL03</x:v>
      </x:c>
    </x:row>
    <x:row r="13" ht="65" customHeight="1">
      <x:c r="A13" s="10" t="str">
        <x:v>P05-R08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P05-BRF-001 / P05-LL03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201ff85c99c43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P05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P05-PO01</x:v>
      </x:c>
      <x:c r="B6" s="11" t="str">
        <x:v>배수펌프</x:v>
      </x:c>
      <x:c r="C6" s="11" t="str">
        <x:v>가상공급사 A</x:v>
      </x:c>
      <x:c r="D6" s="11" t="n">
        <x:v>14</x:v>
      </x:c>
      <x:c r="E6" s="11" t="n">
        <x:v>2</x:v>
      </x:c>
      <x:c r="F6" s="11" t="n">
        <x:f>SUM(D6:E6)</x:f>
        <x:v>16</x:v>
      </x:c>
      <x:c r="G6" s="11" t="str">
        <x:v>인수완료</x:v>
      </x:c>
    </x:row>
    <x:row r="7" ht="36" customHeight="1">
      <x:c r="A7" s="10" t="str">
        <x:v>P05-PO02</x:v>
      </x:c>
      <x:c r="B7" s="10" t="str">
        <x:v>주요 구조자재</x:v>
      </x:c>
      <x:c r="C7" s="10" t="str">
        <x:v>가상공급사 B</x:v>
      </x:c>
      <x:c r="D7" s="10" t="n">
        <x:v>18</x:v>
      </x:c>
      <x:c r="E7" s="10" t="n">
        <x:v>3</x:v>
      </x:c>
      <x:c r="F7" s="10" t="n">
        <x:f>SUM(D7:E7)</x:f>
        <x:v>21</x:v>
      </x:c>
      <x:c r="G7" s="10" t="str">
        <x:v>인수완료</x:v>
      </x:c>
    </x:row>
    <x:row r="8" ht="36" customHeight="1">
      <x:c r="A8" s="11" t="str">
        <x:v>P05-PO03</x:v>
      </x:c>
      <x:c r="B8" s="11" t="str">
        <x:v>계측장비</x:v>
      </x:c>
      <x:c r="C8" s="11" t="str">
        <x:v>가상공급사 C</x:v>
      </x:c>
      <x:c r="D8" s="11" t="n">
        <x:v>22</x:v>
      </x:c>
      <x:c r="E8" s="11" t="n">
        <x:v>4</x:v>
      </x:c>
      <x:c r="F8" s="11" t="n">
        <x:f>SUM(D8:E8)</x:f>
        <x:v>26</x:v>
      </x:c>
      <x:c r="G8" s="11" t="str">
        <x:v>인수완료</x:v>
      </x:c>
    </x:row>
    <x:row r="9" ht="36" customHeight="1">
      <x:c r="A9" s="10" t="str">
        <x:v>P05-PO04</x:v>
      </x:c>
      <x:c r="B9" s="10" t="str">
        <x:v>전력설비</x:v>
      </x:c>
      <x:c r="C9" s="10" t="str">
        <x:v>가상공급사 D</x:v>
      </x:c>
      <x:c r="D9" s="10" t="n">
        <x:v>26</x:v>
      </x:c>
      <x:c r="E9" s="10" t="n">
        <x:v>2</x:v>
      </x:c>
      <x:c r="F9" s="10" t="n">
        <x:f>SUM(D9:E9)</x:f>
        <x:v>28</x:v>
      </x:c>
      <x:c r="G9" s="10" t="str">
        <x:v>인수완료</x:v>
      </x:c>
    </x:row>
    <x:row r="10" ht="36" customHeight="1">
      <x:c r="A10" s="11" t="str">
        <x:v>P05-PO05</x:v>
      </x:c>
      <x:c r="B10" s="11" t="str">
        <x:v>처리설비</x:v>
      </x:c>
      <x:c r="C10" s="11" t="str">
        <x:v>가상공급사 E</x:v>
      </x:c>
      <x:c r="D10" s="11" t="n">
        <x:v>30</x:v>
      </x:c>
      <x:c r="E10" s="11" t="n">
        <x:v>3</x:v>
      </x:c>
      <x:c r="F10" s="11" t="n">
        <x:f>SUM(D10:E10)</x:f>
        <x:v>33</x:v>
      </x:c>
      <x:c r="G10" s="11" t="str">
        <x:v>인수완료</x:v>
      </x:c>
    </x:row>
    <x:row r="11" ht="36" customHeight="1">
      <x:c r="A11" s="10" t="str">
        <x:v>P05-PO06</x:v>
      </x:c>
      <x:c r="B11" s="10" t="str">
        <x:v>예비품</x:v>
      </x:c>
      <x:c r="C11" s="10" t="str">
        <x:v>가상공급사 F</x:v>
      </x:c>
      <x:c r="D11" s="10" t="n">
        <x:v>34</x:v>
      </x:c>
      <x:c r="E11" s="10" t="n">
        <x:v>4</x:v>
      </x:c>
      <x:c r="F11" s="10" t="n">
        <x:f>SUM(D11:E11)</x:f>
        <x:v>38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a60d7c207e8b43d8"/>
  </x:tableParts>
</x:worksheet>
</file>