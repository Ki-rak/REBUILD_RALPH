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484247fc2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1070ecfa1c49c7"/>
    <x:sheet xmlns:r="http://schemas.openxmlformats.org/officeDocument/2006/relationships" name="Cost" sheetId="2" r:id="Rcf650080a3ff4d8b"/>
    <x:sheet xmlns:r="http://schemas.openxmlformats.org/officeDocument/2006/relationships" name="Risk" sheetId="3" r:id="Re30514ea20bc4b71"/>
    <x:sheet xmlns:r="http://schemas.openxmlformats.org/officeDocument/2006/relationships" name="Procurement" sheetId="4" r:id="Rc25c21292268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3ca7ade734205" /><Relationship Type="http://schemas.openxmlformats.org/officeDocument/2006/relationships/theme" Target="/xl/theme/theme1.xml" Id="R49465bb81a7d463d" /><Relationship Type="http://schemas.openxmlformats.org/officeDocument/2006/relationships/sharedStrings" Target="/xl/sharedStrings.xml" Id="R4874d093f6d54f02" /><Relationship Type="http://schemas.openxmlformats.org/officeDocument/2006/relationships/worksheet" Target="/xl/worksheets/sheet1.xml" Id="R1d1070ecfa1c49c7" /><Relationship Type="http://schemas.openxmlformats.org/officeDocument/2006/relationships/worksheet" Target="/xl/worksheets/sheet2.xml" Id="Rcf650080a3ff4d8b" /><Relationship Type="http://schemas.openxmlformats.org/officeDocument/2006/relationships/worksheet" Target="/xl/worksheets/sheet3.xml" Id="Re30514ea20bc4b71" /><Relationship Type="http://schemas.openxmlformats.org/officeDocument/2006/relationships/worksheet" Target="/xl/worksheets/sheet4.xml" Id="Rc25c2129226846b7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d67cddbb3c4c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ab37df8d7f44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12111ad8b841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83e72c3f20541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P04 원가 및 위험 관리</x:v>
      </x:c>
      <x:c r="B2" s="1"/>
      <x:c r="C2" s="1"/>
    </x:row>
    <x:row r="3">
      <x:c r="A3" s="3" t="str">
        <x:v>P04-COM-001 | SYNTHETIC | Rev01 | 2022-01-02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342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0.45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153.9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300.96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308.55999999999995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4.2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346.2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0.855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36.785000000000046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29d67cddbb3c4c0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P04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18.06</x:v>
      </x:c>
      <x:c r="F6" s="13" t="n">
        <x:f>ROUND(C6*E6,2)</x:f>
        <x:v>18.06</x:v>
      </x:c>
      <x:c r="G6" s="13" t="n">
        <x:v>18.06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42</x:v>
      </x:c>
      <x:c r="D7" s="10" t="str">
        <x:v>month</x:v>
      </x:c>
      <x:c r="E7" s="17" t="n">
        <x:v>0.645</x:v>
      </x:c>
      <x:c r="F7" s="14" t="n">
        <x:f>ROUND(C7*E7,2)</x:f>
        <x:v>27.09</x:v>
      </x:c>
      <x:c r="G7" s="14" t="n">
        <x:v>27.09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준설 및 지반개량</x:v>
      </x:c>
      <x:c r="C8" s="18" t="n">
        <x:v>2400000</x:v>
      </x:c>
      <x:c r="D8" s="11" t="str">
        <x:v>m3</x:v>
      </x:c>
      <x:c r="E8" s="16" t="n">
        <x:v>0.000022570833333333334</x:v>
      </x:c>
      <x:c r="F8" s="13" t="n">
        <x:f>ROUND(C8*E8,2)</x:f>
        <x:v>54.17</x:v>
      </x:c>
      <x:c r="G8" s="13" t="n">
        <x:v>61.77</x:v>
      </x:c>
      <x:c r="H8" s="13" t="n">
        <x:f>G8-F8</x:f>
        <x:v>7.600000000000001</x:v>
      </x:c>
    </x:row>
    <x:row r="9" ht="36" customHeight="1">
      <x:c r="A9" s="10" t="str">
        <x:v>W04</x:v>
      </x:c>
      <x:c r="B9" s="10" t="str">
        <x:v>안벽 및 야드 구조</x:v>
      </x:c>
      <x:c r="C9" s="19" t="n">
        <x:v>145000</x:v>
      </x:c>
      <x:c r="D9" s="10" t="str">
        <x:v>m3</x:v>
      </x:c>
      <x:c r="E9" s="17" t="n">
        <x:v>0.0005188965517241379</x:v>
      </x:c>
      <x:c r="F9" s="14" t="n">
        <x:f>ROUND(C9*E9,2)</x:f>
        <x:v>75.24</x:v>
      </x:c>
      <x:c r="G9" s="14" t="n">
        <x:v>75.24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30</x:v>
      </x:c>
      <x:c r="D10" s="11" t="str">
        <x:v>set</x:v>
      </x:c>
      <x:c r="E10" s="16" t="n">
        <x:v>1.1036666666666666</x:v>
      </x:c>
      <x:c r="F10" s="13" t="n">
        <x:f>ROUND(C10*E10,2)</x:f>
        <x:v>33.11</x:v>
      </x:c>
      <x:c r="G10" s="13" t="n">
        <x:v>33.11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126</x:v>
      </x:c>
      <x:c r="D11" s="10" t="str">
        <x:v>point</x:v>
      </x:c>
      <x:c r="E11" s="17" t="n">
        <x:v>0.1911111111111111</x:v>
      </x:c>
      <x:c r="F11" s="14" t="n">
        <x:f>ROUND(C11*E11,2)</x:f>
        <x:v>24.08</x:v>
      </x:c>
      <x:c r="G11" s="14" t="n">
        <x:v>24.08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18</x:v>
      </x:c>
      <x:c r="D12" s="11" t="str">
        <x:v>location</x:v>
      </x:c>
      <x:c r="E12" s="16" t="n">
        <x:v>1.1705555555555556</x:v>
      </x:c>
      <x:c r="F12" s="13" t="n">
        <x:f>ROUND(C12*E12,2)</x:f>
        <x:v>21.07</x:v>
      </x:c>
      <x:c r="G12" s="13" t="n">
        <x:v>21.07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36500</x:v>
      </x:c>
      <x:c r="D13" s="10" t="str">
        <x:v>m2</x:v>
      </x:c>
      <x:c r="E13" s="17" t="n">
        <x:v>0.00032986301369863013</x:v>
      </x:c>
      <x:c r="F13" s="14" t="n">
        <x:f>ROUND(C13*E13,2)</x:f>
        <x:v>12.04</x:v>
      </x:c>
      <x:c r="G13" s="14" t="n">
        <x:v>12.04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42</x:v>
      </x:c>
      <x:c r="D14" s="11" t="str">
        <x:v>month</x:v>
      </x:c>
      <x:c r="E14" s="16" t="n">
        <x:v>0.5733333333333333</x:v>
      </x:c>
      <x:c r="F14" s="13" t="n">
        <x:f>ROUND(C14*E14,2)</x:f>
        <x:v>24.08</x:v>
      </x:c>
      <x:c r="G14" s="13" t="n">
        <x:v>24.08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12.02</x:v>
      </x:c>
      <x:c r="F15" s="14" t="n">
        <x:f>ROUND(C15*E15,2)</x:f>
        <x:v>12.02</x:v>
      </x:c>
      <x:c r="G15" s="14" t="n">
        <x:v>12.02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300.96</x:v>
      </x:c>
      <x:c r="G16" s="15" t="n">
        <x:f>SUM(G6:G15)</x:f>
        <x:v>308.55999999999995</x:v>
      </x:c>
      <x:c r="H16" s="15" t="n">
        <x:f>G16-F16</x:f>
        <x:v>7.599999999999966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5bab37df8d7f446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P04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P04-RISK-001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P04-R01</x:v>
      </x:c>
      <x:c r="B6" s="11" t="str">
        <x:v>연약지반 압밀과 인도 시점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7.6</x:v>
      </x:c>
      <x:c r="H6" s="11" t="n">
        <x:v>37</x:v>
      </x:c>
      <x:c r="I6" s="11" t="str">
        <x:v>종결</x:v>
      </x:c>
      <x:c r="J6" s="11" t="str">
        <x:v>관측자료로 구역별 압밀 종료를 판단하고 선행 운영구역과 후속 침하관리구역을 분리했다.</x:v>
      </x:c>
      <x:c r="K6" s="11" t="str">
        <x:v>P04-BRF-001 / P04-LL01</x:v>
      </x:c>
    </x:row>
    <x:row r="7" ht="65" customHeight="1">
      <x:c r="A7" s="10" t="str">
        <x:v>P04-R02</x:v>
      </x:c>
      <x:c r="B7" s="10" t="str">
        <x:v>준설토 반출처 제한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준설토 성상 조사와 반출처 허가를 입찰 전 확인한다.</x:v>
      </x:c>
      <x:c r="K7" s="10" t="str">
        <x:v>P04-BRF-001 / P04-LL02</x:v>
      </x:c>
    </x:row>
    <x:row r="8" ht="65" customHeight="1">
      <x:c r="A8" s="11" t="str">
        <x:v>P04-R03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P04-BRF-001 / P04-LL03</x:v>
      </x:c>
    </x:row>
    <x:row r="9" ht="65" customHeight="1">
      <x:c r="A9" s="10" t="str">
        <x:v>P04-R04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P04-BRF-001 / P04-LL03</x:v>
      </x:c>
    </x:row>
    <x:row r="10" ht="65" customHeight="1">
      <x:c r="A10" s="11" t="str">
        <x:v>P04-R05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P04-BRF-001 / P04-LL03</x:v>
      </x:c>
    </x:row>
    <x:row r="11" ht="65" customHeight="1">
      <x:c r="A11" s="10" t="str">
        <x:v>P04-R06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P04-BRF-001 / P04-LL03</x:v>
      </x:c>
    </x:row>
    <x:row r="12" ht="65" customHeight="1">
      <x:c r="A12" s="11" t="str">
        <x:v>P04-R07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P04-BRF-001 / P04-LL03</x:v>
      </x:c>
    </x:row>
    <x:row r="13" ht="65" customHeight="1">
      <x:c r="A13" s="10" t="str">
        <x:v>P04-R08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P04-BRF-001 / P04-LL03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512111ad8b841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P04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P04-PO01</x:v>
      </x:c>
      <x:c r="B6" s="11" t="str">
        <x:v>배수펌프</x:v>
      </x:c>
      <x:c r="C6" s="11" t="str">
        <x:v>가상공급사 A</x:v>
      </x:c>
      <x:c r="D6" s="11" t="n">
        <x:v>12</x:v>
      </x:c>
      <x:c r="E6" s="11" t="n">
        <x:v>2</x:v>
      </x:c>
      <x:c r="F6" s="11" t="n">
        <x:f>SUM(D6:E6)</x:f>
        <x:v>14</x:v>
      </x:c>
      <x:c r="G6" s="11" t="str">
        <x:v>인수완료</x:v>
      </x:c>
    </x:row>
    <x:row r="7" ht="36" customHeight="1">
      <x:c r="A7" s="10" t="str">
        <x:v>P04-PO02</x:v>
      </x:c>
      <x:c r="B7" s="10" t="str">
        <x:v>주요 구조자재</x:v>
      </x:c>
      <x:c r="C7" s="10" t="str">
        <x:v>가상공급사 B</x:v>
      </x:c>
      <x:c r="D7" s="10" t="n">
        <x:v>16</x:v>
      </x:c>
      <x:c r="E7" s="10" t="n">
        <x:v>3</x:v>
      </x:c>
      <x:c r="F7" s="10" t="n">
        <x:f>SUM(D7:E7)</x:f>
        <x:v>19</x:v>
      </x:c>
      <x:c r="G7" s="10" t="str">
        <x:v>인수완료</x:v>
      </x:c>
    </x:row>
    <x:row r="8" ht="36" customHeight="1">
      <x:c r="A8" s="11" t="str">
        <x:v>P04-PO03</x:v>
      </x:c>
      <x:c r="B8" s="11" t="str">
        <x:v>계측장비</x:v>
      </x:c>
      <x:c r="C8" s="11" t="str">
        <x:v>가상공급사 C</x:v>
      </x:c>
      <x:c r="D8" s="11" t="n">
        <x:v>20</x:v>
      </x:c>
      <x:c r="E8" s="11" t="n">
        <x:v>4</x:v>
      </x:c>
      <x:c r="F8" s="11" t="n">
        <x:f>SUM(D8:E8)</x:f>
        <x:v>24</x:v>
      </x:c>
      <x:c r="G8" s="11" t="str">
        <x:v>인수완료</x:v>
      </x:c>
    </x:row>
    <x:row r="9" ht="36" customHeight="1">
      <x:c r="A9" s="10" t="str">
        <x:v>P04-PO04</x:v>
      </x:c>
      <x:c r="B9" s="10" t="str">
        <x:v>전력설비</x:v>
      </x:c>
      <x:c r="C9" s="10" t="str">
        <x:v>가상공급사 D</x:v>
      </x:c>
      <x:c r="D9" s="10" t="n">
        <x:v>24</x:v>
      </x:c>
      <x:c r="E9" s="10" t="n">
        <x:v>2</x:v>
      </x:c>
      <x:c r="F9" s="10" t="n">
        <x:f>SUM(D9:E9)</x:f>
        <x:v>26</x:v>
      </x:c>
      <x:c r="G9" s="10" t="str">
        <x:v>인수완료</x:v>
      </x:c>
    </x:row>
    <x:row r="10" ht="36" customHeight="1">
      <x:c r="A10" s="11" t="str">
        <x:v>P04-PO05</x:v>
      </x:c>
      <x:c r="B10" s="11" t="str">
        <x:v>처리설비</x:v>
      </x:c>
      <x:c r="C10" s="11" t="str">
        <x:v>가상공급사 E</x:v>
      </x:c>
      <x:c r="D10" s="11" t="n">
        <x:v>28</x:v>
      </x:c>
      <x:c r="E10" s="11" t="n">
        <x:v>3</x:v>
      </x:c>
      <x:c r="F10" s="11" t="n">
        <x:f>SUM(D10:E10)</x:f>
        <x:v>31</x:v>
      </x:c>
      <x:c r="G10" s="11" t="str">
        <x:v>인수완료</x:v>
      </x:c>
    </x:row>
    <x:row r="11" ht="36" customHeight="1">
      <x:c r="A11" s="10" t="str">
        <x:v>P04-PO06</x:v>
      </x:c>
      <x:c r="B11" s="10" t="str">
        <x:v>예비품</x:v>
      </x:c>
      <x:c r="C11" s="10" t="str">
        <x:v>가상공급사 F</x:v>
      </x:c>
      <x:c r="D11" s="10" t="n">
        <x:v>32</x:v>
      </x:c>
      <x:c r="E11" s="10" t="n">
        <x:v>4</x:v>
      </x:c>
      <x:c r="F11" s="10" t="n">
        <x:f>SUM(D11:E11)</x:f>
        <x:v>36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583e72c3f20541a5"/>
  </x:tableParts>
</x:worksheet>
</file>