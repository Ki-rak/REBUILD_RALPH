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fc916c653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243efa22c64027"/>
    <x:sheet xmlns:r="http://schemas.openxmlformats.org/officeDocument/2006/relationships" name="Cost" sheetId="2" r:id="R0f4908abba4841c8"/>
    <x:sheet xmlns:r="http://schemas.openxmlformats.org/officeDocument/2006/relationships" name="Risk" sheetId="3" r:id="R02ca10208ced4dc8"/>
    <x:sheet xmlns:r="http://schemas.openxmlformats.org/officeDocument/2006/relationships" name="Procurement" sheetId="4" r:id="R27bce1fb68d1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6a7ba10a84c3d" /><Relationship Type="http://schemas.openxmlformats.org/officeDocument/2006/relationships/theme" Target="/xl/theme/theme1.xml" Id="R28a04fcfd9a84429" /><Relationship Type="http://schemas.openxmlformats.org/officeDocument/2006/relationships/sharedStrings" Target="/xl/sharedStrings.xml" Id="Re365213ece3742e2" /><Relationship Type="http://schemas.openxmlformats.org/officeDocument/2006/relationships/worksheet" Target="/xl/worksheets/sheet1.xml" Id="Rfa243efa22c64027" /><Relationship Type="http://schemas.openxmlformats.org/officeDocument/2006/relationships/worksheet" Target="/xl/worksheets/sheet2.xml" Id="R0f4908abba4841c8" /><Relationship Type="http://schemas.openxmlformats.org/officeDocument/2006/relationships/worksheet" Target="/xl/worksheets/sheet3.xml" Id="R02ca10208ced4dc8" /><Relationship Type="http://schemas.openxmlformats.org/officeDocument/2006/relationships/worksheet" Target="/xl/worksheets/sheet4.xml" Id="R27bce1fb68d14147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KRW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d9fb2c180e46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52d00a153f4e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45560e87ae41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0d850b961b44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P12 원가 및 위험 관리</x:v>
      </x:c>
      <x:c r="B2" s="1"/>
      <x:c r="C2" s="1"/>
    </x:row>
    <x:row r="3">
      <x:c r="A3" s="3" t="str">
        <x:v>P12-COM-001 | SYNTHETIC | Rev01 | 2022-04-20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132000</x:v>
      </x:c>
      <x:c r="C6" s="11" t="str">
        <x:v>KRW million / JV 전체</x:v>
      </x:c>
    </x:row>
    <x:row r="7" ht="36" customHeight="1">
      <x:c r="A7" s="10" t="str">
        <x:v>당사 지분</x:v>
      </x:c>
      <x:c r="B7" s="12" t="n">
        <x:v>1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132000</x:v>
      </x:c>
      <x:c r="C8" s="11" t="str">
        <x:v>KRW million</x:v>
      </x:c>
    </x:row>
    <x:row r="9" ht="36" customHeight="1">
      <x:c r="A9" s="10" t="str">
        <x:v>실행예산</x:v>
      </x:c>
      <x:c r="B9" s="10" t="n">
        <x:f>'Cost'!F16</x:f>
        <x:v>116160</x:v>
      </x:c>
      <x:c r="C9" s="10" t="str">
        <x:v>KRW million / 신규는 검토용 가정</x:v>
      </x:c>
    </x:row>
    <x:row r="10" ht="36" customHeight="1">
      <x:c r="A10" s="11" t="str">
        <x:v>최종원가</x:v>
      </x:c>
      <x:c r="B10" s="11" t="n">
        <x:f>'Cost'!G16</x:f>
        <x:v>118760</x:v>
      </x:c>
      <x:c r="C10" s="11" t="str">
        <x:v>KRW million</x:v>
      </x:c>
    </x:row>
    <x:row r="11" ht="36" customHeight="1">
      <x:c r="A11" s="10" t="str">
        <x:v>승인 변경금액</x:v>
      </x:c>
      <x:c r="B11" s="10" t="n">
        <x:v>900</x:v>
      </x:c>
      <x:c r="C11" s="10" t="str">
        <x:v>KRW million</x:v>
      </x:c>
    </x:row>
    <x:row r="12" ht="36" customHeight="1">
      <x:c r="A12" s="11" t="str">
        <x:v>최종 계약수입</x:v>
      </x:c>
      <x:c r="B12" s="11" t="n">
        <x:f>SUM(B6,B11)</x:f>
        <x:v>132900</x:v>
      </x:c>
      <x:c r="C12" s="11" t="str">
        <x:v>KRW million</x:v>
      </x:c>
    </x:row>
    <x:row r="13" ht="36" customHeight="1">
      <x:c r="A13" s="10" t="str">
        <x:v>지체상금 공제</x:v>
      </x:c>
      <x:c r="B13" s="10" t="n">
        <x:v>198</x:v>
      </x:c>
      <x:c r="C13" s="10" t="str">
        <x:v>KRW million</x:v>
      </x:c>
    </x:row>
    <x:row r="14" ht="36" customHeight="1">
      <x:c r="A14" s="11" t="str">
        <x:v>공제 후 잔여</x:v>
      </x:c>
      <x:c r="B14" s="11" t="n">
        <x:f>B12-B10-B13</x:f>
        <x:v>13942</x:v>
      </x:c>
      <x:c r="C14" s="11" t="str">
        <x:v>세금·금융비용 전 / KRW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0dd9fb2c180e46f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P12 공종별 원가 (KRW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6969.6</x:v>
      </x:c>
      <x:c r="F6" s="13" t="n">
        <x:f>ROUND(C6*E6,2)</x:f>
        <x:v>6969.6</x:v>
      </x:c>
      <x:c r="G6" s="13" t="n">
        <x:v>6969.6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22</x:v>
      </x:c>
      <x:c r="D7" s="10" t="str">
        <x:v>month</x:v>
      </x:c>
      <x:c r="E7" s="17" t="n">
        <x:v>475.2</x:v>
      </x:c>
      <x:c r="F7" s="14" t="n">
        <x:f>ROUND(C7*E7,2)</x:f>
        <x:v>10454.4</x:v>
      </x:c>
      <x:c r="G7" s="14" t="n">
        <x:v>10454.4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지하층 굴착</x:v>
      </x:c>
      <x:c r="C8" s="18" t="n">
        <x:v>1296000</x:v>
      </x:c>
      <x:c r="D8" s="11" t="str">
        <x:v>m3</x:v>
      </x:c>
      <x:c r="E8" s="16" t="n">
        <x:v>0.016133333333333333</x:v>
      </x:c>
      <x:c r="F8" s="13" t="n">
        <x:f>ROUND(C8*E8,2)</x:f>
        <x:v>20908.8</x:v>
      </x:c>
      <x:c r="G8" s="13" t="n">
        <x:v>20908.8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지하슬래브 및 벽체</x:v>
      </x:c>
      <x:c r="C9" s="19" t="n">
        <x:v>112000</x:v>
      </x:c>
      <x:c r="D9" s="10" t="str">
        <x:v>m3</x:v>
      </x:c>
      <x:c r="E9" s="17" t="n">
        <x:v>0.2592857142857143</x:v>
      </x:c>
      <x:c r="F9" s="14" t="n">
        <x:f>ROUND(C9*E9,2)</x:f>
        <x:v>29040</x:v>
      </x:c>
      <x:c r="G9" s="14" t="n">
        <x:v>31640</x:v>
      </x:c>
      <x:c r="H9" s="14" t="n">
        <x:f>G9-F9</x:f>
        <x:v>2600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34</x:v>
      </x:c>
      <x:c r="D10" s="11" t="str">
        <x:v>set</x:v>
      </x:c>
      <x:c r="E10" s="16" t="n">
        <x:v>375.81176470588235</x:v>
      </x:c>
      <x:c r="F10" s="13" t="n">
        <x:f>ROUND(C10*E10,2)</x:f>
        <x:v>12777.6</x:v>
      </x:c>
      <x:c r="G10" s="13" t="n">
        <x:v>12777.6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222</x:v>
      </x:c>
      <x:c r="D11" s="10" t="str">
        <x:v>point</x:v>
      </x:c>
      <x:c r="E11" s="17" t="n">
        <x:v>41.85945945945946</x:v>
      </x:c>
      <x:c r="F11" s="14" t="n">
        <x:f>ROUND(C11*E11,2)</x:f>
        <x:v>9292.8</x:v>
      </x:c>
      <x:c r="G11" s="14" t="n">
        <x:v>9292.8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34</x:v>
      </x:c>
      <x:c r="D12" s="11" t="str">
        <x:v>location</x:v>
      </x:c>
      <x:c r="E12" s="16" t="n">
        <x:v>239.1529411764706</x:v>
      </x:c>
      <x:c r="F12" s="13" t="n">
        <x:f>ROUND(C12*E12,2)</x:f>
        <x:v>8131.2</x:v>
      </x:c>
      <x:c r="G12" s="13" t="n">
        <x:v>8131.2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64500</x:v>
      </x:c>
      <x:c r="D13" s="10" t="str">
        <x:v>m2</x:v>
      </x:c>
      <x:c r="E13" s="17" t="n">
        <x:v>0.07203720930232557</x:v>
      </x:c>
      <x:c r="F13" s="14" t="n">
        <x:f>ROUND(C13*E13,2)</x:f>
        <x:v>4646.4</x:v>
      </x:c>
      <x:c r="G13" s="14" t="n">
        <x:v>4646.4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22</x:v>
      </x:c>
      <x:c r="D14" s="11" t="str">
        <x:v>month</x:v>
      </x:c>
      <x:c r="E14" s="16" t="n">
        <x:v>422.4</x:v>
      </x:c>
      <x:c r="F14" s="13" t="n">
        <x:f>ROUND(C14*E14,2)</x:f>
        <x:v>9292.8</x:v>
      </x:c>
      <x:c r="G14" s="13" t="n">
        <x:v>9292.8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4646.4</x:v>
      </x:c>
      <x:c r="F15" s="14" t="n">
        <x:f>ROUND(C15*E15,2)</x:f>
        <x:v>4646.4</x:v>
      </x:c>
      <x:c r="G15" s="14" t="n">
        <x:v>4646.4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116160</x:v>
      </x:c>
      <x:c r="G16" s="15" t="n">
        <x:f>SUM(G6:G15)</x:f>
        <x:v>118760</x:v>
      </x:c>
      <x:c r="H16" s="15" t="n">
        <x:f>G16-F16</x:f>
        <x:v>2600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1152d00a153f4e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P12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P12-RISK-001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(KRW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P12-R01</x:v>
      </x:c>
      <x:c r="B6" s="11" t="str">
        <x:v>흙막이 변위와 설계 인터페이스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2600</x:v>
      </x:c>
      <x:c r="H6" s="11" t="n">
        <x:v>14</x:v>
      </x:c>
      <x:c r="I6" s="11" t="str">
        <x:v>종결</x:v>
      </x:c>
      <x:c r="J6" s="11" t="str">
        <x:v>구조·가시설 담당자의 공동 검토 이후 굴착 단계를 재승인했다.</x:v>
      </x:c>
      <x:c r="K6" s="11" t="str">
        <x:v>P12-BRF-001 / P12-LL01</x:v>
      </x:c>
    </x:row>
    <x:row r="7" ht="65" customHeight="1">
      <x:c r="A7" s="10" t="str">
        <x:v>P12-R02</x:v>
      </x:c>
      <x:c r="B7" s="10" t="str">
        <x:v>재주입 토지 사용권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기술적 가능성과 제3자 사용권을 별도 확인한다.</x:v>
      </x:c>
      <x:c r="K7" s="10" t="str">
        <x:v>P12-BRF-001 / P12-LL02</x:v>
      </x:c>
    </x:row>
    <x:row r="8" ht="65" customHeight="1">
      <x:c r="A8" s="11" t="str">
        <x:v>P12-R03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P12-BRF-001 / P12-LL03</x:v>
      </x:c>
    </x:row>
    <x:row r="9" ht="65" customHeight="1">
      <x:c r="A9" s="10" t="str">
        <x:v>P12-R04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P12-BRF-001 / P12-LL03</x:v>
      </x:c>
    </x:row>
    <x:row r="10" ht="65" customHeight="1">
      <x:c r="A10" s="11" t="str">
        <x:v>P12-R05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P12-BRF-001 / P12-LL03</x:v>
      </x:c>
    </x:row>
    <x:row r="11" ht="65" customHeight="1">
      <x:c r="A11" s="10" t="str">
        <x:v>P12-R06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P12-BRF-001 / P12-LL03</x:v>
      </x:c>
    </x:row>
    <x:row r="12" ht="65" customHeight="1">
      <x:c r="A12" s="11" t="str">
        <x:v>P12-R07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P12-BRF-001 / P12-LL03</x:v>
      </x:c>
    </x:row>
    <x:row r="13" ht="65" customHeight="1">
      <x:c r="A13" s="10" t="str">
        <x:v>P12-R08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P12-BRF-001 / P12-LL03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945560e87ae41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P12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P12-PO01</x:v>
      </x:c>
      <x:c r="B6" s="11" t="str">
        <x:v>배수펌프</x:v>
      </x:c>
      <x:c r="C6" s="11" t="str">
        <x:v>가상공급사 A</x:v>
      </x:c>
      <x:c r="D6" s="11" t="n">
        <x:v>16</x:v>
      </x:c>
      <x:c r="E6" s="11" t="n">
        <x:v>2</x:v>
      </x:c>
      <x:c r="F6" s="11" t="n">
        <x:f>SUM(D6:E6)</x:f>
        <x:v>18</x:v>
      </x:c>
      <x:c r="G6" s="11" t="str">
        <x:v>인수완료</x:v>
      </x:c>
    </x:row>
    <x:row r="7" ht="36" customHeight="1">
      <x:c r="A7" s="10" t="str">
        <x:v>P12-PO02</x:v>
      </x:c>
      <x:c r="B7" s="10" t="str">
        <x:v>주요 구조자재</x:v>
      </x:c>
      <x:c r="C7" s="10" t="str">
        <x:v>가상공급사 B</x:v>
      </x:c>
      <x:c r="D7" s="10" t="n">
        <x:v>20</x:v>
      </x:c>
      <x:c r="E7" s="10" t="n">
        <x:v>3</x:v>
      </x:c>
      <x:c r="F7" s="10" t="n">
        <x:f>SUM(D7:E7)</x:f>
        <x:v>23</x:v>
      </x:c>
      <x:c r="G7" s="10" t="str">
        <x:v>인수완료</x:v>
      </x:c>
    </x:row>
    <x:row r="8" ht="36" customHeight="1">
      <x:c r="A8" s="11" t="str">
        <x:v>P12-PO03</x:v>
      </x:c>
      <x:c r="B8" s="11" t="str">
        <x:v>계측장비</x:v>
      </x:c>
      <x:c r="C8" s="11" t="str">
        <x:v>가상공급사 C</x:v>
      </x:c>
      <x:c r="D8" s="11" t="n">
        <x:v>24</x:v>
      </x:c>
      <x:c r="E8" s="11" t="n">
        <x:v>4</x:v>
      </x:c>
      <x:c r="F8" s="11" t="n">
        <x:f>SUM(D8:E8)</x:f>
        <x:v>28</x:v>
      </x:c>
      <x:c r="G8" s="11" t="str">
        <x:v>인수완료</x:v>
      </x:c>
    </x:row>
    <x:row r="9" ht="36" customHeight="1">
      <x:c r="A9" s="10" t="str">
        <x:v>P12-PO04</x:v>
      </x:c>
      <x:c r="B9" s="10" t="str">
        <x:v>전력설비</x:v>
      </x:c>
      <x:c r="C9" s="10" t="str">
        <x:v>가상공급사 D</x:v>
      </x:c>
      <x:c r="D9" s="10" t="n">
        <x:v>28</x:v>
      </x:c>
      <x:c r="E9" s="10" t="n">
        <x:v>2</x:v>
      </x:c>
      <x:c r="F9" s="10" t="n">
        <x:f>SUM(D9:E9)</x:f>
        <x:v>30</x:v>
      </x:c>
      <x:c r="G9" s="10" t="str">
        <x:v>인수완료</x:v>
      </x:c>
    </x:row>
    <x:row r="10" ht="36" customHeight="1">
      <x:c r="A10" s="11" t="str">
        <x:v>P12-PO05</x:v>
      </x:c>
      <x:c r="B10" s="11" t="str">
        <x:v>처리설비</x:v>
      </x:c>
      <x:c r="C10" s="11" t="str">
        <x:v>가상공급사 E</x:v>
      </x:c>
      <x:c r="D10" s="11" t="n">
        <x:v>32</x:v>
      </x:c>
      <x:c r="E10" s="11" t="n">
        <x:v>3</x:v>
      </x:c>
      <x:c r="F10" s="11" t="n">
        <x:f>SUM(D10:E10)</x:f>
        <x:v>35</x:v>
      </x:c>
      <x:c r="G10" s="11" t="str">
        <x:v>인수완료</x:v>
      </x:c>
    </x:row>
    <x:row r="11" ht="36" customHeight="1">
      <x:c r="A11" s="10" t="str">
        <x:v>P12-PO06</x:v>
      </x:c>
      <x:c r="B11" s="10" t="str">
        <x:v>예비품</x:v>
      </x:c>
      <x:c r="C11" s="10" t="str">
        <x:v>가상공급사 F</x:v>
      </x:c>
      <x:c r="D11" s="10" t="n">
        <x:v>36</x:v>
      </x:c>
      <x:c r="E11" s="10" t="n">
        <x:v>4</x:v>
      </x:c>
      <x:c r="F11" s="10" t="n">
        <x:f>SUM(D11:E11)</x:f>
        <x:v>40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ee0d850b961b44fb"/>
  </x:tableParts>
</x:worksheet>
</file>