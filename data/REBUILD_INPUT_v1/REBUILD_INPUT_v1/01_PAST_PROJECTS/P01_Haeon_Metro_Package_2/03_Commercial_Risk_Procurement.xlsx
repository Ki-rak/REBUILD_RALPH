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c5c998f3b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fb4fa399874046"/>
    <x:sheet xmlns:r="http://schemas.openxmlformats.org/officeDocument/2006/relationships" name="Cost" sheetId="2" r:id="Rbb1ba003429f4549"/>
    <x:sheet xmlns:r="http://schemas.openxmlformats.org/officeDocument/2006/relationships" name="Risk" sheetId="3" r:id="R90a1ef665ca84d4f"/>
    <x:sheet xmlns:r="http://schemas.openxmlformats.org/officeDocument/2006/relationships" name="Procurement" sheetId="4" r:id="R00c793ae1fd5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528a6d544493a" /><Relationship Type="http://schemas.openxmlformats.org/officeDocument/2006/relationships/theme" Target="/xl/theme/theme1.xml" Id="R4750ed8745a244af" /><Relationship Type="http://schemas.openxmlformats.org/officeDocument/2006/relationships/sharedStrings" Target="/xl/sharedStrings.xml" Id="R6f3c90349f7542e2" /><Relationship Type="http://schemas.openxmlformats.org/officeDocument/2006/relationships/worksheet" Target="/xl/worksheets/sheet1.xml" Id="R33fb4fa399874046" /><Relationship Type="http://schemas.openxmlformats.org/officeDocument/2006/relationships/worksheet" Target="/xl/worksheets/sheet2.xml" Id="Rbb1ba003429f4549" /><Relationship Type="http://schemas.openxmlformats.org/officeDocument/2006/relationships/worksheet" Target="/xl/worksheets/sheet3.xml" Id="R90a1ef665ca84d4f" /><Relationship Type="http://schemas.openxmlformats.org/officeDocument/2006/relationships/worksheet" Target="/xl/worksheets/sheet4.xml" Id="R00c793ae1fd543a7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22cdf0537b43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cc293e7923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46a789c38943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6d634e2a664f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P01 원가 및 위험 관리</x:v>
      </x:c>
      <x:c r="B2" s="1"/>
      <x:c r="C2" s="1"/>
    </x:row>
    <x:row r="3">
      <x:c r="A3" s="3" t="str">
        <x:v>P01-COM-001 | SYNTHETIC | Rev01 | 2018-05-25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286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0.55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157.3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251.68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256.47999999999996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3.1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289.1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0.286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32.33400000000006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dc22cdf0537b43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P01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15.1</x:v>
      </x:c>
      <x:c r="F6" s="13" t="n">
        <x:f>ROUND(C6*E6,2)</x:f>
        <x:v>15.1</x:v>
      </x:c>
      <x:c r="G6" s="13" t="n">
        <x:v>15.1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38</x:v>
      </x:c>
      <x:c r="D7" s="10" t="str">
        <x:v>month</x:v>
      </x:c>
      <x:c r="E7" s="17" t="n">
        <x:v>0.5960526315789473</x:v>
      </x:c>
      <x:c r="F7" s="14" t="n">
        <x:f>ROUND(C7*E7,2)</x:f>
        <x:v>22.65</x:v>
      </x:c>
      <x:c r="G7" s="14" t="n">
        <x:v>22.65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정거장 굴착</x:v>
      </x:c>
      <x:c r="C8" s="18" t="n">
        <x:v>380000</x:v>
      </x:c>
      <x:c r="D8" s="11" t="str">
        <x:v>m3</x:v>
      </x:c>
      <x:c r="E8" s="16" t="n">
        <x:v>0.00011921052631578947</x:v>
      </x:c>
      <x:c r="F8" s="13" t="n">
        <x:f>ROUND(C8*E8,2)</x:f>
        <x:v>45.3</x:v>
      </x:c>
      <x:c r="G8" s="13" t="n">
        <x:v>45.3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차수벽 및 정거장 구조</x:v>
      </x:c>
      <x:c r="C9" s="19" t="n">
        <x:v>98000</x:v>
      </x:c>
      <x:c r="D9" s="10" t="str">
        <x:v>m3</x:v>
      </x:c>
      <x:c r="E9" s="17" t="n">
        <x:v>0.0006420408163265307</x:v>
      </x:c>
      <x:c r="F9" s="14" t="n">
        <x:f>ROUND(C9*E9,2)</x:f>
        <x:v>62.92</x:v>
      </x:c>
      <x:c r="G9" s="14" t="n">
        <x:v>62.92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18</x:v>
      </x:c>
      <x:c r="D10" s="11" t="str">
        <x:v>set</x:v>
      </x:c>
      <x:c r="E10" s="16" t="n">
        <x:v>1.5377777777777777</x:v>
      </x:c>
      <x:c r="F10" s="13" t="n">
        <x:f>ROUND(C10*E10,2)</x:f>
        <x:v>27.68</x:v>
      </x:c>
      <x:c r="G10" s="13" t="n">
        <x:v>32.48</x:v>
      </x:c>
      <x:c r="H10" s="13" t="n">
        <x:f>G10-F10</x:f>
        <x:v>4.799999999999997</x:v>
      </x:c>
    </x:row>
    <x:row r="11" ht="36" customHeight="1">
      <x:c r="A11" s="10" t="str">
        <x:v>W06</x:v>
      </x:c>
      <x:c r="B11" s="10" t="str">
        <x:v>전기 및 계측</x:v>
      </x:c>
      <x:c r="C11" s="19" t="n">
        <x:v>90</x:v>
      </x:c>
      <x:c r="D11" s="10" t="str">
        <x:v>point</x:v>
      </x:c>
      <x:c r="E11" s="17" t="n">
        <x:v>0.22366666666666665</x:v>
      </x:c>
      <x:c r="F11" s="14" t="n">
        <x:f>ROUND(C11*E11,2)</x:f>
        <x:v>20.13</x:v>
      </x:c>
      <x:c r="G11" s="14" t="n">
        <x:v>20.13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12</x:v>
      </x:c>
      <x:c r="D12" s="11" t="str">
        <x:v>location</x:v>
      </x:c>
      <x:c r="E12" s="16" t="n">
        <x:v>1.4683333333333335</x:v>
      </x:c>
      <x:c r="F12" s="13" t="n">
        <x:f>ROUND(C12*E12,2)</x:f>
        <x:v>17.62</x:v>
      </x:c>
      <x:c r="G12" s="13" t="n">
        <x:v>17.62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26000</x:v>
      </x:c>
      <x:c r="D13" s="10" t="str">
        <x:v>m2</x:v>
      </x:c>
      <x:c r="E13" s="17" t="n">
        <x:v>0.00038730769230769233</x:v>
      </x:c>
      <x:c r="F13" s="14" t="n">
        <x:f>ROUND(C13*E13,2)</x:f>
        <x:v>10.07</x:v>
      </x:c>
      <x:c r="G13" s="14" t="n">
        <x:v>10.07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38</x:v>
      </x:c>
      <x:c r="D14" s="11" t="str">
        <x:v>month</x:v>
      </x:c>
      <x:c r="E14" s="16" t="n">
        <x:v>0.5297368421052632</x:v>
      </x:c>
      <x:c r="F14" s="13" t="n">
        <x:f>ROUND(C14*E14,2)</x:f>
        <x:v>20.13</x:v>
      </x:c>
      <x:c r="G14" s="13" t="n">
        <x:v>20.13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10.08</x:v>
      </x:c>
      <x:c r="F15" s="14" t="n">
        <x:f>ROUND(C15*E15,2)</x:f>
        <x:v>10.08</x:v>
      </x:c>
      <x:c r="G15" s="14" t="n">
        <x:v>10.08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251.68</x:v>
      </x:c>
      <x:c r="G16" s="15" t="n">
        <x:f>SUM(G6:G15)</x:f>
        <x:v>256.47999999999996</x:v>
      </x:c>
      <x:c r="H16" s="15" t="n">
        <x:f>G16-F16</x:f>
        <x:v>4.7999999999999545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97cc293e79234c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P01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P01-RISK-001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P01-R01</x:v>
      </x:c>
      <x:c r="B6" s="11" t="str">
        <x:v>지하수 유입과 방류허가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4.8</x:v>
      </x:c>
      <x:c r="H6" s="11" t="n">
        <x:v>24</x:v>
      </x:c>
      <x:c r="I6" s="11" t="str">
        <x:v>종결</x:v>
      </x:c>
      <x:c r="J6" s="11" t="str">
        <x:v>차수벽 접합부 주입과 침전조 증설을 병행하고 방류량 일지를 허가 담당자에게 매일 제출했다.</x:v>
      </x:c>
      <x:c r="K6" s="11" t="str">
        <x:v>P01-BRF-001 / P01-LL01</x:v>
      </x:c>
    </x:row>
    <x:row r="7" ht="65" customHeight="1">
      <x:c r="A7" s="10" t="str">
        <x:v>P01-R02</x:v>
      </x:c>
      <x:c r="B7" s="10" t="str">
        <x:v>지장물 이설 선행조건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설계도면만으로 지장물 위치를 확정하지 않고 탐사와 시험굴착 결과를 함께 확인한다.</x:v>
      </x:c>
      <x:c r="K7" s="10" t="str">
        <x:v>P01-BRF-001 / P01-LL02</x:v>
      </x:c>
    </x:row>
    <x:row r="8" ht="65" customHeight="1">
      <x:c r="A8" s="11" t="str">
        <x:v>P01-R03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P01-BRF-001 / P01-LL03</x:v>
      </x:c>
    </x:row>
    <x:row r="9" ht="65" customHeight="1">
      <x:c r="A9" s="10" t="str">
        <x:v>P01-R04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P01-BRF-001 / P01-LL03</x:v>
      </x:c>
    </x:row>
    <x:row r="10" ht="65" customHeight="1">
      <x:c r="A10" s="11" t="str">
        <x:v>P01-R05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P01-BRF-001 / P01-LL03</x:v>
      </x:c>
    </x:row>
    <x:row r="11" ht="65" customHeight="1">
      <x:c r="A11" s="10" t="str">
        <x:v>P01-R06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P01-BRF-001 / P01-LL03</x:v>
      </x:c>
    </x:row>
    <x:row r="12" ht="65" customHeight="1">
      <x:c r="A12" s="11" t="str">
        <x:v>P01-R07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P01-BRF-001 / P01-LL03</x:v>
      </x:c>
    </x:row>
    <x:row r="13" ht="65" customHeight="1">
      <x:c r="A13" s="10" t="str">
        <x:v>P01-R08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P01-BRF-001 / P01-LL03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46a789c38943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P01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P01-PO01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인수완료</x:v>
      </x:c>
    </x:row>
    <x:row r="7" ht="36" customHeight="1">
      <x:c r="A7" s="10" t="str">
        <x:v>P01-PO02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인수완료</x:v>
      </x:c>
    </x:row>
    <x:row r="8" ht="36" customHeight="1">
      <x:c r="A8" s="11" t="str">
        <x:v>P01-PO03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인수완료</x:v>
      </x:c>
    </x:row>
    <x:row r="9" ht="36" customHeight="1">
      <x:c r="A9" s="10" t="str">
        <x:v>P01-PO04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인수완료</x:v>
      </x:c>
    </x:row>
    <x:row r="10" ht="36" customHeight="1">
      <x:c r="A10" s="11" t="str">
        <x:v>P01-PO05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인수완료</x:v>
      </x:c>
    </x:row>
    <x:row r="11" ht="36" customHeight="1">
      <x:c r="A11" s="10" t="str">
        <x:v>P01-PO06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7b6d634e2a664fb9"/>
  </x:tableParts>
</x:worksheet>
</file>