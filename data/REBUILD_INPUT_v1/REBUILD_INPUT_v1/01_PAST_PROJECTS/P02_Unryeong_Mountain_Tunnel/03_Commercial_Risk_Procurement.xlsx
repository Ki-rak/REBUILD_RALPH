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9ed52390b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985cb34cd64bc0"/>
    <x:sheet xmlns:r="http://schemas.openxmlformats.org/officeDocument/2006/relationships" name="Cost" sheetId="2" r:id="R223e06c1e8e24e14"/>
    <x:sheet xmlns:r="http://schemas.openxmlformats.org/officeDocument/2006/relationships" name="Risk" sheetId="3" r:id="Rf489da47567248f9"/>
    <x:sheet xmlns:r="http://schemas.openxmlformats.org/officeDocument/2006/relationships" name="Procurement" sheetId="4" r:id="R433a3fb19927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1d6af273a4359" /><Relationship Type="http://schemas.openxmlformats.org/officeDocument/2006/relationships/theme" Target="/xl/theme/theme1.xml" Id="Rdec39635be7344cd" /><Relationship Type="http://schemas.openxmlformats.org/officeDocument/2006/relationships/sharedStrings" Target="/xl/sharedStrings.xml" Id="Re87c1747a04a4fbf" /><Relationship Type="http://schemas.openxmlformats.org/officeDocument/2006/relationships/worksheet" Target="/xl/worksheets/sheet1.xml" Id="R73985cb34cd64bc0" /><Relationship Type="http://schemas.openxmlformats.org/officeDocument/2006/relationships/worksheet" Target="/xl/worksheets/sheet2.xml" Id="R223e06c1e8e24e14" /><Relationship Type="http://schemas.openxmlformats.org/officeDocument/2006/relationships/worksheet" Target="/xl/worksheets/sheet3.xml" Id="Rf489da47567248f9" /><Relationship Type="http://schemas.openxmlformats.org/officeDocument/2006/relationships/worksheet" Target="/xl/worksheets/sheet4.xml" Id="R433a3fb199274141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d4dba427204b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da7dfc062b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471af53f0d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e51c2d8b8e44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P02 원가 및 위험 관리</x:v>
      </x:c>
      <x:c r="B2" s="1"/>
      <x:c r="C2" s="1"/>
    </x:row>
    <x:row r="3">
      <x:c r="A3" s="3" t="str">
        <x:v>P02-COM-001 | SYNTHETIC | Rev01 | 2018-12-20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198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0.6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118.8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174.23999999999998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177.44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1.4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199.4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0.297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21.663000000000007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c7d4dba427204b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P02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10.45</x:v>
      </x:c>
      <x:c r="F6" s="13" t="n">
        <x:f>ROUND(C6*E6,2)</x:f>
        <x:v>10.45</x:v>
      </x:c>
      <x:c r="G6" s="13" t="n">
        <x:v>10.45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32</x:v>
      </x:c>
      <x:c r="D7" s="10" t="str">
        <x:v>month</x:v>
      </x:c>
      <x:c r="E7" s="17" t="n">
        <x:v>0.49</x:v>
      </x:c>
      <x:c r="F7" s="14" t="n">
        <x:f>ROUND(C7*E7,2)</x:f>
        <x:v>15.68</x:v>
      </x:c>
      <x:c r="G7" s="14" t="n">
        <x:v>15.68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터널 굴착</x:v>
      </x:c>
      <x:c r="C8" s="18" t="n">
        <x:v>260000</x:v>
      </x:c>
      <x:c r="D8" s="11" t="str">
        <x:v>m3</x:v>
      </x:c>
      <x:c r="E8" s="16" t="n">
        <x:v>0.00012061538461538461</x:v>
      </x:c>
      <x:c r="F8" s="13" t="n">
        <x:f>ROUND(C8*E8,2)</x:f>
        <x:v>31.36</x:v>
      </x:c>
      <x:c r="G8" s="13" t="n">
        <x:v>34.56</x:v>
      </x:c>
      <x:c r="H8" s="13" t="n">
        <x:f>G8-F8</x:f>
        <x:v>3.200000000000003</x:v>
      </x:c>
    </x:row>
    <x:row r="9" ht="36" customHeight="1">
      <x:c r="A9" s="10" t="str">
        <x:v>W04</x:v>
      </x:c>
      <x:c r="B9" s="10" t="str">
        <x:v>터널 라이닝</x:v>
      </x:c>
      <x:c r="C9" s="19" t="n">
        <x:v>44000</x:v>
      </x:c>
      <x:c r="D9" s="10" t="str">
        <x:v>m3</x:v>
      </x:c>
      <x:c r="E9" s="17" t="n">
        <x:v>0.00099</x:v>
      </x:c>
      <x:c r="F9" s="14" t="n">
        <x:f>ROUND(C9*E9,2)</x:f>
        <x:v>43.56</x:v>
      </x:c>
      <x:c r="G9" s="14" t="n">
        <x:v>43.56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22</x:v>
      </x:c>
      <x:c r="D10" s="11" t="str">
        <x:v>set</x:v>
      </x:c>
      <x:c r="E10" s="16" t="n">
        <x:v>0.8713636363636365</x:v>
      </x:c>
      <x:c r="F10" s="13" t="n">
        <x:f>ROUND(C10*E10,2)</x:f>
        <x:v>19.17</x:v>
      </x:c>
      <x:c r="G10" s="13" t="n">
        <x:v>19.17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102</x:v>
      </x:c>
      <x:c r="D11" s="10" t="str">
        <x:v>point</x:v>
      </x:c>
      <x:c r="E11" s="17" t="n">
        <x:v>0.13666666666666666</x:v>
      </x:c>
      <x:c r="F11" s="14" t="n">
        <x:f>ROUND(C11*E11,2)</x:f>
        <x:v>13.94</x:v>
      </x:c>
      <x:c r="G11" s="14" t="n">
        <x:v>13.94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14</x:v>
      </x:c>
      <x:c r="D12" s="11" t="str">
        <x:v>location</x:v>
      </x:c>
      <x:c r="E12" s="16" t="n">
        <x:v>0.8714285714285713</x:v>
      </x:c>
      <x:c r="F12" s="13" t="n">
        <x:f>ROUND(C12*E12,2)</x:f>
        <x:v>12.2</x:v>
      </x:c>
      <x:c r="G12" s="13" t="n">
        <x:v>12.2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29500</x:v>
      </x:c>
      <x:c r="D13" s="10" t="str">
        <x:v>m2</x:v>
      </x:c>
      <x:c r="E13" s="17" t="n">
        <x:v>0.00023627118644067795</x:v>
      </x:c>
      <x:c r="F13" s="14" t="n">
        <x:f>ROUND(C13*E13,2)</x:f>
        <x:v>6.97</x:v>
      </x:c>
      <x:c r="G13" s="14" t="n">
        <x:v>6.97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32</x:v>
      </x:c>
      <x:c r="D14" s="11" t="str">
        <x:v>month</x:v>
      </x:c>
      <x:c r="E14" s="16" t="n">
        <x:v>0.435625</x:v>
      </x:c>
      <x:c r="F14" s="13" t="n">
        <x:f>ROUND(C14*E14,2)</x:f>
        <x:v>13.94</x:v>
      </x:c>
      <x:c r="G14" s="13" t="n">
        <x:v>13.94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6.97</x:v>
      </x:c>
      <x:c r="F15" s="14" t="n">
        <x:f>ROUND(C15*E15,2)</x:f>
        <x:v>6.97</x:v>
      </x:c>
      <x:c r="G15" s="14" t="n">
        <x:v>6.97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174.23999999999998</x:v>
      </x:c>
      <x:c r="G16" s="15" t="n">
        <x:f>SUM(G6:G15)</x:f>
        <x:v>177.44</x:v>
      </x:c>
      <x:c r="H16" s="15" t="n">
        <x:f>G16-F16</x:f>
        <x:v>3.200000000000017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bfda7dfc062b43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P02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P02-RISK-001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P02-R01</x:v>
      </x:c>
      <x:c r="B6" s="11" t="str">
        <x:v>단층대 과굴착과 선진보강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3.2</x:v>
      </x:c>
      <x:c r="H6" s="11" t="n">
        <x:v>19</x:v>
      </x:c>
      <x:c r="I6" s="11" t="str">
        <x:v>종결</x:v>
      </x:c>
      <x:c r="J6" s="11" t="str">
        <x:v>선진 시추를 굴진 전방 30 m까지 시행하고 강관 보강 후 굴진장을 축소했다.</x:v>
      </x:c>
      <x:c r="K6" s="11" t="str">
        <x:v>P02-BRF-001 / P02-LL01</x:v>
      </x:c>
    </x:row>
    <x:row r="7" ht="65" customHeight="1">
      <x:c r="A7" s="10" t="str">
        <x:v>P02-R02</x:v>
      </x:c>
      <x:c r="B7" s="10" t="str">
        <x:v>갱구 낙석과 운반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주변 사면 안정과 굴진면 안정의 검토 범위를 분리한다.</x:v>
      </x:c>
      <x:c r="K7" s="10" t="str">
        <x:v>P02-BRF-001 / P02-LL02</x:v>
      </x:c>
    </x:row>
    <x:row r="8" ht="65" customHeight="1">
      <x:c r="A8" s="11" t="str">
        <x:v>P02-R03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P02-BRF-001 / P02-LL03</x:v>
      </x:c>
    </x:row>
    <x:row r="9" ht="65" customHeight="1">
      <x:c r="A9" s="10" t="str">
        <x:v>P02-R04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P02-BRF-001 / P02-LL03</x:v>
      </x:c>
    </x:row>
    <x:row r="10" ht="65" customHeight="1">
      <x:c r="A10" s="11" t="str">
        <x:v>P02-R05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P02-BRF-001 / P02-LL03</x:v>
      </x:c>
    </x:row>
    <x:row r="11" ht="65" customHeight="1">
      <x:c r="A11" s="10" t="str">
        <x:v>P02-R06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P02-BRF-001 / P02-LL03</x:v>
      </x:c>
    </x:row>
    <x:row r="12" ht="65" customHeight="1">
      <x:c r="A12" s="11" t="str">
        <x:v>P02-R07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P02-BRF-001 / P02-LL03</x:v>
      </x:c>
    </x:row>
    <x:row r="13" ht="65" customHeight="1">
      <x:c r="A13" s="10" t="str">
        <x:v>P02-R08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P02-BRF-001 / P02-LL03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471af53f0d49a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P02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P02-PO01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인수완료</x:v>
      </x:c>
    </x:row>
    <x:row r="7" ht="36" customHeight="1">
      <x:c r="A7" s="10" t="str">
        <x:v>P02-PO02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인수완료</x:v>
      </x:c>
    </x:row>
    <x:row r="8" ht="36" customHeight="1">
      <x:c r="A8" s="11" t="str">
        <x:v>P02-PO03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인수완료</x:v>
      </x:c>
    </x:row>
    <x:row r="9" ht="36" customHeight="1">
      <x:c r="A9" s="10" t="str">
        <x:v>P02-PO04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인수완료</x:v>
      </x:c>
    </x:row>
    <x:row r="10" ht="36" customHeight="1">
      <x:c r="A10" s="11" t="str">
        <x:v>P02-PO05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인수완료</x:v>
      </x:c>
    </x:row>
    <x:row r="11" ht="36" customHeight="1">
      <x:c r="A11" s="10" t="str">
        <x:v>P02-PO06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73e51c2d8b8e44bc"/>
  </x:tableParts>
</x:worksheet>
</file>