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b0d381c12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98b6c089714a37"/>
    <x:sheet xmlns:r="http://schemas.openxmlformats.org/officeDocument/2006/relationships" name="Cost" sheetId="2" r:id="Rf567f6b30e6e4df2"/>
    <x:sheet xmlns:r="http://schemas.openxmlformats.org/officeDocument/2006/relationships" name="Risk" sheetId="3" r:id="R193f0559da344b35"/>
    <x:sheet xmlns:r="http://schemas.openxmlformats.org/officeDocument/2006/relationships" name="Procurement" sheetId="4" r:id="Rba3184902006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3d86a4e3345f0" /><Relationship Type="http://schemas.openxmlformats.org/officeDocument/2006/relationships/theme" Target="/xl/theme/theme1.xml" Id="Rebe8b55e38294331" /><Relationship Type="http://schemas.openxmlformats.org/officeDocument/2006/relationships/sharedStrings" Target="/xl/sharedStrings.xml" Id="R30495a95aa324e01" /><Relationship Type="http://schemas.openxmlformats.org/officeDocument/2006/relationships/worksheet" Target="/xl/worksheets/sheet1.xml" Id="R5a98b6c089714a37" /><Relationship Type="http://schemas.openxmlformats.org/officeDocument/2006/relationships/worksheet" Target="/xl/worksheets/sheet2.xml" Id="Rf567f6b30e6e4df2" /><Relationship Type="http://schemas.openxmlformats.org/officeDocument/2006/relationships/worksheet" Target="/xl/worksheets/sheet3.xml" Id="R193f0559da344b35" /><Relationship Type="http://schemas.openxmlformats.org/officeDocument/2006/relationships/worksheet" Target="/xl/worksheets/sheet4.xml" Id="Rba318490200649e4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49c674a03441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64a4c6c68942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343fe600eb4e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10b589338c4e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P14 원가 및 위험 관리</x:v>
      </x:c>
      <x:c r="B2" s="1"/>
      <x:c r="C2" s="1"/>
    </x:row>
    <x:row r="3">
      <x:c r="A3" s="3" t="str">
        <x:v>P14-COM-001 | SYNTHETIC | Rev01 | 2017-12-26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112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0.8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89.60000000000001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98.55999999999999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101.36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1.6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113.6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0.28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11.959999999999996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e349c674a034417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P14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5.91</x:v>
      </x:c>
      <x:c r="F6" s="13" t="n">
        <x:f>ROUND(C6*E6,2)</x:f>
        <x:v>5.91</x:v>
      </x:c>
      <x:c r="G6" s="13" t="n">
        <x:v>5.91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20</x:v>
      </x:c>
      <x:c r="D7" s="10" t="str">
        <x:v>month</x:v>
      </x:c>
      <x:c r="E7" s="17" t="n">
        <x:v>0.44349999999999995</x:v>
      </x:c>
      <x:c r="F7" s="14" t="n">
        <x:f>ROUND(C7*E7,2)</x:f>
        <x:v>8.87</x:v>
      </x:c>
      <x:c r="G7" s="14" t="n">
        <x:v>8.87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공동구 굴착</x:v>
      </x:c>
      <x:c r="C8" s="18" t="n">
        <x:v>48000</x:v>
      </x:c>
      <x:c r="D8" s="11" t="str">
        <x:v>m3</x:v>
      </x:c>
      <x:c r="E8" s="16" t="n">
        <x:v>0.0003695833333333333</x:v>
      </x:c>
      <x:c r="F8" s="13" t="n">
        <x:f>ROUND(C8*E8,2)</x:f>
        <x:v>17.74</x:v>
      </x:c>
      <x:c r="G8" s="13" t="n">
        <x:v>17.74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공동구 및 변전동</x:v>
      </x:c>
      <x:c r="C9" s="19" t="n">
        <x:v>26000</x:v>
      </x:c>
      <x:c r="D9" s="10" t="str">
        <x:v>m3</x:v>
      </x:c>
      <x:c r="E9" s="17" t="n">
        <x:v>0.0009476923076923077</x:v>
      </x:c>
      <x:c r="F9" s="14" t="n">
        <x:f>ROUND(C9*E9,2)</x:f>
        <x:v>24.64</x:v>
      </x:c>
      <x:c r="G9" s="14" t="n">
        <x:v>24.64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42</x:v>
      </x:c>
      <x:c r="D10" s="11" t="str">
        <x:v>set</x:v>
      </x:c>
      <x:c r="E10" s="16" t="n">
        <x:v>0.2580952380952381</x:v>
      </x:c>
      <x:c r="F10" s="13" t="n">
        <x:f>ROUND(C10*E10,2)</x:f>
        <x:v>10.84</x:v>
      </x:c>
      <x:c r="G10" s="13" t="n">
        <x:v>10.84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246</x:v>
      </x:c>
      <x:c r="D11" s="10" t="str">
        <x:v>point</x:v>
      </x:c>
      <x:c r="E11" s="17" t="n">
        <x:v>0.032032520325203255</x:v>
      </x:c>
      <x:c r="F11" s="14" t="n">
        <x:f>ROUND(C11*E11,2)</x:f>
        <x:v>7.88</x:v>
      </x:c>
      <x:c r="G11" s="14" t="n">
        <x:v>10.68</x:v>
      </x:c>
      <x:c r="H11" s="14" t="n">
        <x:f>G11-F11</x:f>
        <x:v>2.8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38</x:v>
      </x:c>
      <x:c r="D12" s="11" t="str">
        <x:v>location</x:v>
      </x:c>
      <x:c r="E12" s="16" t="n">
        <x:v>0.18157894736842106</x:v>
      </x:c>
      <x:c r="F12" s="13" t="n">
        <x:f>ROUND(C12*E12,2)</x:f>
        <x:v>6.9</x:v>
      </x:c>
      <x:c r="G12" s="13" t="n">
        <x:v>6.9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71500</x:v>
      </x:c>
      <x:c r="D13" s="10" t="str">
        <x:v>m2</x:v>
      </x:c>
      <x:c r="E13" s="17" t="n">
        <x:v>0.000055104895104895105</x:v>
      </x:c>
      <x:c r="F13" s="14" t="n">
        <x:f>ROUND(C13*E13,2)</x:f>
        <x:v>3.94</x:v>
      </x:c>
      <x:c r="G13" s="14" t="n">
        <x:v>3.94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20</x:v>
      </x:c>
      <x:c r="D14" s="11" t="str">
        <x:v>month</x:v>
      </x:c>
      <x:c r="E14" s="16" t="n">
        <x:v>0.394</x:v>
      </x:c>
      <x:c r="F14" s="13" t="n">
        <x:f>ROUND(C14*E14,2)</x:f>
        <x:v>7.88</x:v>
      </x:c>
      <x:c r="G14" s="13" t="n">
        <x:v>7.88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3.96</x:v>
      </x:c>
      <x:c r="F15" s="14" t="n">
        <x:f>ROUND(C15*E15,2)</x:f>
        <x:v>3.96</x:v>
      </x:c>
      <x:c r="G15" s="14" t="n">
        <x:v>3.96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98.55999999999999</x:v>
      </x:c>
      <x:c r="G16" s="15" t="n">
        <x:f>SUM(G6:G15)</x:f>
        <x:v>101.36</x:v>
      </x:c>
      <x:c r="H16" s="15" t="n">
        <x:f>G16-F16</x:f>
        <x:v>2.8000000000000114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b664a4c6c68942f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P14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P14-RISK-001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P14-R01</x:v>
      </x:c>
      <x:c r="B6" s="11" t="str">
        <x:v>전력 인입과 장기납기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2.8</x:v>
      </x:c>
      <x:c r="H6" s="11" t="n">
        <x:v>20</x:v>
      </x:c>
      <x:c r="I6" s="11" t="str">
        <x:v>종결</x:v>
      </x:c>
      <x:c r="J6" s="11" t="str">
        <x:v>공급사 승인도서와 공장시험을 일정에 연결하고 임시전원 사용 범위를 발주처와 합의했다.</x:v>
      </x:c>
      <x:c r="K6" s="11" t="str">
        <x:v>P14-BRF-001 / P14-LL01</x:v>
      </x:c>
    </x:row>
    <x:row r="7" ht="65" customHeight="1">
      <x:c r="A7" s="10" t="str">
        <x:v>P14-R02</x:v>
      </x:c>
      <x:c r="B7" s="10" t="str">
        <x:v>냉각수관 책임 경계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공종별 인도 지점과 시험 책임을 인터페이스 표로 확정한다.</x:v>
      </x:c>
      <x:c r="K7" s="10" t="str">
        <x:v>P14-BRF-001 / P14-LL02</x:v>
      </x:c>
    </x:row>
    <x:row r="8" ht="65" customHeight="1">
      <x:c r="A8" s="11" t="str">
        <x:v>P14-R03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P14-BRF-001 / P14-LL03</x:v>
      </x:c>
    </x:row>
    <x:row r="9" ht="65" customHeight="1">
      <x:c r="A9" s="10" t="str">
        <x:v>P14-R04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P14-BRF-001 / P14-LL03</x:v>
      </x:c>
    </x:row>
    <x:row r="10" ht="65" customHeight="1">
      <x:c r="A10" s="11" t="str">
        <x:v>P14-R05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P14-BRF-001 / P14-LL03</x:v>
      </x:c>
    </x:row>
    <x:row r="11" ht="65" customHeight="1">
      <x:c r="A11" s="10" t="str">
        <x:v>P14-R06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P14-BRF-001 / P14-LL03</x:v>
      </x:c>
    </x:row>
    <x:row r="12" ht="65" customHeight="1">
      <x:c r="A12" s="11" t="str">
        <x:v>P14-R07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P14-BRF-001 / P14-LL03</x:v>
      </x:c>
    </x:row>
    <x:row r="13" ht="65" customHeight="1">
      <x:c r="A13" s="10" t="str">
        <x:v>P14-R08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P14-BRF-001 / P14-LL03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e343fe600eb4ee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P14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P14-PO01</x:v>
      </x:c>
      <x:c r="B6" s="11" t="str">
        <x:v>배수펌프</x:v>
      </x:c>
      <x:c r="C6" s="11" t="str">
        <x:v>가상공급사 A</x:v>
      </x:c>
      <x:c r="D6" s="11" t="n">
        <x:v>14</x:v>
      </x:c>
      <x:c r="E6" s="11" t="n">
        <x:v>2</x:v>
      </x:c>
      <x:c r="F6" s="11" t="n">
        <x:f>SUM(D6:E6)</x:f>
        <x:v>16</x:v>
      </x:c>
      <x:c r="G6" s="11" t="str">
        <x:v>인수완료</x:v>
      </x:c>
    </x:row>
    <x:row r="7" ht="36" customHeight="1">
      <x:c r="A7" s="10" t="str">
        <x:v>P14-PO02</x:v>
      </x:c>
      <x:c r="B7" s="10" t="str">
        <x:v>주요 구조자재</x:v>
      </x:c>
      <x:c r="C7" s="10" t="str">
        <x:v>가상공급사 B</x:v>
      </x:c>
      <x:c r="D7" s="10" t="n">
        <x:v>18</x:v>
      </x:c>
      <x:c r="E7" s="10" t="n">
        <x:v>3</x:v>
      </x:c>
      <x:c r="F7" s="10" t="n">
        <x:f>SUM(D7:E7)</x:f>
        <x:v>21</x:v>
      </x:c>
      <x:c r="G7" s="10" t="str">
        <x:v>인수완료</x:v>
      </x:c>
    </x:row>
    <x:row r="8" ht="36" customHeight="1">
      <x:c r="A8" s="11" t="str">
        <x:v>P14-PO03</x:v>
      </x:c>
      <x:c r="B8" s="11" t="str">
        <x:v>계측장비</x:v>
      </x:c>
      <x:c r="C8" s="11" t="str">
        <x:v>가상공급사 C</x:v>
      </x:c>
      <x:c r="D8" s="11" t="n">
        <x:v>22</x:v>
      </x:c>
      <x:c r="E8" s="11" t="n">
        <x:v>4</x:v>
      </x:c>
      <x:c r="F8" s="11" t="n">
        <x:f>SUM(D8:E8)</x:f>
        <x:v>26</x:v>
      </x:c>
      <x:c r="G8" s="11" t="str">
        <x:v>인수완료</x:v>
      </x:c>
    </x:row>
    <x:row r="9" ht="36" customHeight="1">
      <x:c r="A9" s="10" t="str">
        <x:v>P14-PO04</x:v>
      </x:c>
      <x:c r="B9" s="10" t="str">
        <x:v>전력설비</x:v>
      </x:c>
      <x:c r="C9" s="10" t="str">
        <x:v>가상공급사 D</x:v>
      </x:c>
      <x:c r="D9" s="10" t="n">
        <x:v>26</x:v>
      </x:c>
      <x:c r="E9" s="10" t="n">
        <x:v>2</x:v>
      </x:c>
      <x:c r="F9" s="10" t="n">
        <x:f>SUM(D9:E9)</x:f>
        <x:v>28</x:v>
      </x:c>
      <x:c r="G9" s="10" t="str">
        <x:v>인수완료</x:v>
      </x:c>
    </x:row>
    <x:row r="10" ht="36" customHeight="1">
      <x:c r="A10" s="11" t="str">
        <x:v>P14-PO05</x:v>
      </x:c>
      <x:c r="B10" s="11" t="str">
        <x:v>처리설비</x:v>
      </x:c>
      <x:c r="C10" s="11" t="str">
        <x:v>가상공급사 E</x:v>
      </x:c>
      <x:c r="D10" s="11" t="n">
        <x:v>30</x:v>
      </x:c>
      <x:c r="E10" s="11" t="n">
        <x:v>3</x:v>
      </x:c>
      <x:c r="F10" s="11" t="n">
        <x:f>SUM(D10:E10)</x:f>
        <x:v>33</x:v>
      </x:c>
      <x:c r="G10" s="11" t="str">
        <x:v>인수완료</x:v>
      </x:c>
    </x:row>
    <x:row r="11" ht="36" customHeight="1">
      <x:c r="A11" s="10" t="str">
        <x:v>P14-PO06</x:v>
      </x:c>
      <x:c r="B11" s="10" t="str">
        <x:v>예비품</x:v>
      </x:c>
      <x:c r="C11" s="10" t="str">
        <x:v>가상공급사 F</x:v>
      </x:c>
      <x:c r="D11" s="10" t="n">
        <x:v>34</x:v>
      </x:c>
      <x:c r="E11" s="10" t="n">
        <x:v>4</x:v>
      </x:c>
      <x:c r="F11" s="10" t="n">
        <x:f>SUM(D11:E11)</x:f>
        <x:v>38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d610b589338c4e44"/>
  </x:tableParts>
</x:worksheet>
</file>