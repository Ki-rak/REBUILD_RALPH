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6d30cb803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3aa59bc8a94ed8"/>
    <x:sheet xmlns:r="http://schemas.openxmlformats.org/officeDocument/2006/relationships" name="Cost" sheetId="2" r:id="Rbc55c78b7e534f0a"/>
    <x:sheet xmlns:r="http://schemas.openxmlformats.org/officeDocument/2006/relationships" name="Risk" sheetId="3" r:id="Red301ccc9a3b4089"/>
    <x:sheet xmlns:r="http://schemas.openxmlformats.org/officeDocument/2006/relationships" name="Procurement" sheetId="4" r:id="R6c0e3481e0a8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520c24b004f94" /><Relationship Type="http://schemas.openxmlformats.org/officeDocument/2006/relationships/theme" Target="/xl/theme/theme1.xml" Id="Radae8dd5a87548b0" /><Relationship Type="http://schemas.openxmlformats.org/officeDocument/2006/relationships/sharedStrings" Target="/xl/sharedStrings.xml" Id="R0a008addd1ff45aa" /><Relationship Type="http://schemas.openxmlformats.org/officeDocument/2006/relationships/worksheet" Target="/xl/worksheets/sheet1.xml" Id="R0b3aa59bc8a94ed8" /><Relationship Type="http://schemas.openxmlformats.org/officeDocument/2006/relationships/worksheet" Target="/xl/worksheets/sheet2.xml" Id="Rbc55c78b7e534f0a" /><Relationship Type="http://schemas.openxmlformats.org/officeDocument/2006/relationships/worksheet" Target="/xl/worksheets/sheet3.xml" Id="Red301ccc9a3b4089" /><Relationship Type="http://schemas.openxmlformats.org/officeDocument/2006/relationships/worksheet" Target="/xl/worksheets/sheet4.xml" Id="R6c0e3481e0a84f25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a37cb5025746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aaa262967443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661f751c0744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336ce7023148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N02 입찰 준비 관리</x:v>
      </x:c>
      <x:c r="B2" s="1"/>
      <x:c r="C2" s="1"/>
    </x:row>
    <x:row r="3">
      <x:c r="A3" s="3" t="str">
        <x:v>N02-COM-001 | SYNTHETIC | Rev01 | 2026-09-18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148</x:v>
      </x:c>
      <x:c r="C6" s="11" t="str">
        <x:v>USD million / 발주처 예산한도</x:v>
      </x:c>
    </x:row>
    <x:row r="7" ht="36" customHeight="1">
      <x:c r="A7" s="10" t="str">
        <x:v>당사 지분</x:v>
      </x:c>
      <x:c r="B7" s="12" t="n">
        <x:v>0.65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96.2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130.24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str">
        <x:v>미발생</x:v>
      </x:c>
      <x:c r="C10" s="11" t="str">
        <x:v>USD million</x:v>
      </x:c>
    </x:row>
    <x:row r="11" ht="36" customHeight="1">
      <x:c r="A11" s="10" t="str">
        <x:v>승인 변경금액</x:v>
      </x:c>
      <x:c r="B11" s="10" t="str">
        <x:v>미발생</x:v>
      </x:c>
      <x:c r="C11" s="10" t="str">
        <x:v>USD million</x:v>
      </x:c>
    </x:row>
    <x:row r="12" ht="36" customHeight="1">
      <x:c r="A12" s="11" t="str">
        <x:v>최종 계약수입</x:v>
      </x:c>
      <x:c r="B12" s="11" t="str">
        <x:v>미발생</x:v>
      </x:c>
      <x:c r="C12" s="11" t="str">
        <x:v>USD million</x:v>
      </x:c>
    </x:row>
    <x:row r="13" ht="36" customHeight="1">
      <x:c r="A13" s="10" t="str">
        <x:v>지체상금 공제</x:v>
      </x:c>
      <x:c r="B13" s="10" t="str">
        <x:v>미발생</x:v>
      </x:c>
      <x:c r="C13" s="10" t="str">
        <x:v>USD million</x:v>
      </x:c>
    </x:row>
    <x:row r="14" ht="36" customHeight="1">
      <x:c r="A14" s="11" t="str">
        <x:v>공제 후 잔여</x:v>
      </x:c>
      <x:c r="B14" s="11" t="str">
        <x:v>미발생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f6a37cb5025746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N02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7.81</x:v>
      </x:c>
      <x:c r="F6" s="13" t="n">
        <x:f>ROUND(C6*E6,2)</x:f>
        <x:v>7.81</x:v>
      </x:c>
      <x:c r="G6" s="13" t="str">
        <x:v>미발생</x:v>
      </x:c>
      <x:c r="H6" s="13" t="str">
        <x:f>"미발생"</x:f>
        <x:v>미발생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30</x:v>
      </x:c>
      <x:c r="D7" s="10" t="str">
        <x:v>month</x:v>
      </x:c>
      <x:c r="E7" s="17" t="n">
        <x:v>0.39066666666666666</x:v>
      </x:c>
      <x:c r="F7" s="14" t="n">
        <x:f>ROUND(C7*E7,2)</x:f>
        <x:v>11.72</x:v>
      </x:c>
      <x:c r="G7" s="14" t="str">
        <x:v>미발생</x:v>
      </x:c>
      <x:c r="H7" s="14" t="str">
        <x:f>"미발생"</x:f>
        <x:v>미발생</x:v>
      </x:c>
    </x:row>
    <x:row r="8" ht="36" customHeight="1">
      <x:c r="A8" s="11" t="str">
        <x:v>W03</x:v>
      </x:c>
      <x:c r="B8" s="11" t="str">
        <x:v>처리조 및 관로 굴착</x:v>
      </x:c>
      <x:c r="C8" s="18" t="n">
        <x:v>165000</x:v>
      </x:c>
      <x:c r="D8" s="11" t="str">
        <x:v>m3</x:v>
      </x:c>
      <x:c r="E8" s="16" t="n">
        <x:v>0.00014206060606060606</x:v>
      </x:c>
      <x:c r="F8" s="13" t="n">
        <x:f>ROUND(C8*E8,2)</x:f>
        <x:v>23.44</x:v>
      </x:c>
      <x:c r="G8" s="13" t="str">
        <x:v>미발생</x:v>
      </x:c>
      <x:c r="H8" s="13" t="str">
        <x:f>"미발생"</x:f>
        <x:v>미발생</x:v>
      </x:c>
    </x:row>
    <x:row r="9" ht="36" customHeight="1">
      <x:c r="A9" s="10" t="str">
        <x:v>W04</x:v>
      </x:c>
      <x:c r="B9" s="10" t="str">
        <x:v>정수처리조 및 청수지</x:v>
      </x:c>
      <x:c r="C9" s="19" t="n">
        <x:v>63000</x:v>
      </x:c>
      <x:c r="D9" s="10" t="str">
        <x:v>m3</x:v>
      </x:c>
      <x:c r="E9" s="17" t="n">
        <x:v>0.0005168253968253968</x:v>
      </x:c>
      <x:c r="F9" s="14" t="n">
        <x:f>ROUND(C9*E9,2)</x:f>
        <x:v>32.56</x:v>
      </x:c>
      <x:c r="G9" s="14" t="str">
        <x:v>미발생</x:v>
      </x:c>
      <x:c r="H9" s="14" t="str">
        <x:f>"미발생"</x:f>
        <x:v>미발생</x:v>
      </x:c>
    </x:row>
    <x:row r="10" ht="36" customHeight="1">
      <x:c r="A10" s="11" t="str">
        <x:v>W05</x:v>
      </x:c>
      <x:c r="B10" s="11" t="str">
        <x:v>기계 및 배수</x:v>
      </x:c>
      <x:c r="C10" s="18" t="n">
        <x:v>26</x:v>
      </x:c>
      <x:c r="D10" s="11" t="str">
        <x:v>set</x:v>
      </x:c>
      <x:c r="E10" s="16" t="n">
        <x:v>0.5511538461538461</x:v>
      </x:c>
      <x:c r="F10" s="13" t="n">
        <x:f>ROUND(C10*E10,2)</x:f>
        <x:v>14.33</x:v>
      </x:c>
      <x:c r="G10" s="13" t="str">
        <x:v>미발생</x:v>
      </x:c>
      <x:c r="H10" s="13" t="str">
        <x:f>"미발생"</x:f>
        <x:v>미발생</x:v>
      </x:c>
    </x:row>
    <x:row r="11" ht="36" customHeight="1">
      <x:c r="A11" s="10" t="str">
        <x:v>W06</x:v>
      </x:c>
      <x:c r="B11" s="10" t="str">
        <x:v>전기 및 계측</x:v>
      </x:c>
      <x:c r="C11" s="19" t="n">
        <x:v>282</x:v>
      </x:c>
      <x:c r="D11" s="10" t="str">
        <x:v>point</x:v>
      </x:c>
      <x:c r="E11" s="17" t="n">
        <x:v>0.03695035460992908</x:v>
      </x:c>
      <x:c r="F11" s="14" t="n">
        <x:f>ROUND(C11*E11,2)</x:f>
        <x:v>10.42</x:v>
      </x:c>
      <x:c r="G11" s="14" t="str">
        <x:v>미발생</x:v>
      </x:c>
      <x:c r="H11" s="14" t="str">
        <x:f>"미발생"</x:f>
        <x:v>미발생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44</x:v>
      </x:c>
      <x:c r="D12" s="11" t="str">
        <x:v>location</x:v>
      </x:c>
      <x:c r="E12" s="16" t="n">
        <x:v>0.20727272727272725</x:v>
      </x:c>
      <x:c r="F12" s="13" t="n">
        <x:f>ROUND(C12*E12,2)</x:f>
        <x:v>9.12</x:v>
      </x:c>
      <x:c r="G12" s="13" t="str">
        <x:v>미발생</x:v>
      </x:c>
      <x:c r="H12" s="13" t="str">
        <x:f>"미발생"</x:f>
        <x:v>미발생</x:v>
      </x:c>
    </x:row>
    <x:row r="13" ht="36" customHeight="1">
      <x:c r="A13" s="10" t="str">
        <x:v>W08</x:v>
      </x:c>
      <x:c r="B13" s="10" t="str">
        <x:v>환경 및 복구</x:v>
      </x:c>
      <x:c r="C13" s="19" t="n">
        <x:v>82000</x:v>
      </x:c>
      <x:c r="D13" s="10" t="str">
        <x:v>m2</x:v>
      </x:c>
      <x:c r="E13" s="17" t="n">
        <x:v>0.00006353658536585366</x:v>
      </x:c>
      <x:c r="F13" s="14" t="n">
        <x:f>ROUND(C13*E13,2)</x:f>
        <x:v>5.21</x:v>
      </x:c>
      <x:c r="G13" s="14" t="str">
        <x:v>미발생</x:v>
      </x:c>
      <x:c r="H13" s="14" t="str">
        <x:f>"미발생"</x:f>
        <x:v>미발생</x:v>
      </x:c>
    </x:row>
    <x:row r="14" ht="36" customHeight="1">
      <x:c r="A14" s="11" t="str">
        <x:v>W09</x:v>
      </x:c>
      <x:c r="B14" s="11" t="str">
        <x:v>현장관리</x:v>
      </x:c>
      <x:c r="C14" s="18" t="n">
        <x:v>30</x:v>
      </x:c>
      <x:c r="D14" s="11" t="str">
        <x:v>month</x:v>
      </x:c>
      <x:c r="E14" s="16" t="n">
        <x:v>0.3473333333333333</x:v>
      </x:c>
      <x:c r="F14" s="13" t="n">
        <x:f>ROUND(C14*E14,2)</x:f>
        <x:v>10.42</x:v>
      </x:c>
      <x:c r="G14" s="13" t="str">
        <x:v>미발생</x:v>
      </x:c>
      <x:c r="H14" s="13" t="str">
        <x:f>"미발생"</x:f>
        <x:v>미발생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5.21</x:v>
      </x:c>
      <x:c r="F15" s="14" t="n">
        <x:f>ROUND(C15*E15,2)</x:f>
        <x:v>5.21</x:v>
      </x:c>
      <x:c r="G15" s="14" t="str">
        <x:v>미발생</x:v>
      </x:c>
      <x:c r="H15" s="14" t="str">
        <x:f>"미발생"</x:f>
        <x:v>미발생</x:v>
      </x:c>
    </x:row>
    <x:row r="16">
      <x:c r="B16" t="str">
        <x:v>합계</x:v>
      </x:c>
      <x:c r="F16" s="15" t="n">
        <x:f>SUM(F6:F15)</x:f>
        <x:v>130.24</x:v>
      </x:c>
      <x:c r="G16" s="15" t="str">
        <x:f>"미발생"</x:f>
        <x:v>미발생</x:v>
      </x:c>
      <x:c r="H16" s="15" t="str">
        <x:f>"미발생"</x:f>
        <x:v>미발생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acaaa262967443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N02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N02-RISK-001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N02-R01</x:v>
      </x:c>
      <x:c r="B6" s="11" t="str">
        <x:v>미확정 지반 조건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/>
      <x:c r="H6" s="11"/>
      <x:c r="I6" s="11" t="str">
        <x:v>검토중</x:v>
      </x:c>
      <x:c r="J6" s="11" t="str">
        <x:v>선행조건 및 책임 경계를 확인하고 근거 문서와 연결</x:v>
      </x:c>
      <x:c r="K6" s="11" t="str">
        <x:v>N02-ITB-001 / 해당 조항</x:v>
      </x:c>
    </x:row>
    <x:row r="7" ht="65" customHeight="1">
      <x:c r="A7" s="10" t="str">
        <x:v>N02-R02</x:v>
      </x:c>
      <x:c r="B7" s="10" t="str">
        <x:v>방류 허가와 처리 책임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검토중</x:v>
      </x:c>
      <x:c r="J7" s="10" t="str">
        <x:v>선행조건 및 책임 경계를 확인하고 근거 문서와 연결</x:v>
      </x:c>
      <x:c r="K7" s="10" t="str">
        <x:v>N02-ITB-001 / 해당 조항</x:v>
      </x:c>
    </x:row>
    <x:row r="8" ht="65" customHeight="1">
      <x:c r="A8" s="11" t="str">
        <x:v>N02-R03</x:v>
      </x:c>
      <x:c r="B8" s="11" t="str">
        <x:v>계약 유효본 선정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검토중</x:v>
      </x:c>
      <x:c r="J8" s="11" t="str">
        <x:v>적용 계약의 통지기한과 공식 접수 증빙 확인</x:v>
      </x:c>
      <x:c r="K8" s="11" t="str">
        <x:v>N02-ITB-001 / 해당 조항</x:v>
      </x:c>
    </x:row>
    <x:row r="9" ht="65" customHeight="1">
      <x:c r="A9" s="10" t="str">
        <x:v>N02-R04</x:v>
      </x:c>
      <x:c r="B9" s="10" t="str">
        <x:v>기존 시설 접속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검토중</x:v>
      </x:c>
      <x:c r="J9" s="10" t="str">
        <x:v>선행조건 및 책임 경계를 확인하고 근거 문서와 연결</x:v>
      </x:c>
      <x:c r="K9" s="10" t="str">
        <x:v>N02-ITB-001 / 해당 조항</x:v>
      </x:c>
    </x:row>
    <x:row r="10" ht="65" customHeight="1">
      <x:c r="A10" s="11" t="str">
        <x:v>N02-R05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검토중</x:v>
      </x:c>
      <x:c r="J10" s="11" t="str">
        <x:v>선행조건 및 책임 경계를 확인하고 근거 문서와 연결</x:v>
      </x:c>
      <x:c r="K10" s="11" t="str">
        <x:v>N02-ITB-001 / 해당 조항</x:v>
      </x:c>
    </x:row>
    <x:row r="11" ht="65" customHeight="1">
      <x:c r="A11" s="10" t="str">
        <x:v>N02-R06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검토중</x:v>
      </x:c>
      <x:c r="J11" s="10" t="str">
        <x:v>선행조건 및 책임 경계를 확인하고 근거 문서와 연결</x:v>
      </x:c>
      <x:c r="K11" s="10" t="str">
        <x:v>N02-ITB-001 / 해당 조항</x:v>
      </x:c>
    </x:row>
    <x:row r="12" ht="65" customHeight="1">
      <x:c r="A12" s="11" t="str">
        <x:v>N02-R07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검토중</x:v>
      </x:c>
      <x:c r="J12" s="11" t="str">
        <x:v>선행조건 및 책임 경계를 확인하고 근거 문서와 연결</x:v>
      </x:c>
      <x:c r="K12" s="11" t="str">
        <x:v>N02-ITB-001 / 해당 조항</x:v>
      </x:c>
    </x:row>
    <x:row r="13" ht="65" customHeight="1">
      <x:c r="A13" s="10" t="str">
        <x:v>N02-R08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검토중</x:v>
      </x:c>
      <x:c r="J13" s="10" t="str">
        <x:v>선행조건 및 책임 경계를 확인하고 근거 문서와 연결</x:v>
      </x:c>
      <x:c r="K13" s="10" t="str">
        <x:v>N02-ITB-001 / 해당 조항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b661f751c0744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N02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N02-PO01</x:v>
      </x:c>
      <x:c r="B6" s="11" t="str">
        <x:v>배수펌프</x:v>
      </x:c>
      <x:c r="C6" s="11" t="str">
        <x:v>가상공급사 A</x:v>
      </x:c>
      <x:c r="D6" s="11" t="n">
        <x:v>14</x:v>
      </x:c>
      <x:c r="E6" s="11" t="n">
        <x:v>2</x:v>
      </x:c>
      <x:c r="F6" s="11" t="n">
        <x:f>SUM(D6:E6)</x:f>
        <x:v>16</x:v>
      </x:c>
      <x:c r="G6" s="11" t="str">
        <x:v>예산견적</x:v>
      </x:c>
    </x:row>
    <x:row r="7" ht="36" customHeight="1">
      <x:c r="A7" s="10" t="str">
        <x:v>N02-PO02</x:v>
      </x:c>
      <x:c r="B7" s="10" t="str">
        <x:v>주요 구조자재</x:v>
      </x:c>
      <x:c r="C7" s="10" t="str">
        <x:v>가상공급사 B</x:v>
      </x:c>
      <x:c r="D7" s="10" t="n">
        <x:v>18</x:v>
      </x:c>
      <x:c r="E7" s="10" t="n">
        <x:v>3</x:v>
      </x:c>
      <x:c r="F7" s="10" t="n">
        <x:f>SUM(D7:E7)</x:f>
        <x:v>21</x:v>
      </x:c>
      <x:c r="G7" s="10" t="str">
        <x:v>예산견적</x:v>
      </x:c>
    </x:row>
    <x:row r="8" ht="36" customHeight="1">
      <x:c r="A8" s="11" t="str">
        <x:v>N02-PO03</x:v>
      </x:c>
      <x:c r="B8" s="11" t="str">
        <x:v>계측장비</x:v>
      </x:c>
      <x:c r="C8" s="11" t="str">
        <x:v>가상공급사 C</x:v>
      </x:c>
      <x:c r="D8" s="11" t="n">
        <x:v>22</x:v>
      </x:c>
      <x:c r="E8" s="11" t="n">
        <x:v>4</x:v>
      </x:c>
      <x:c r="F8" s="11" t="n">
        <x:f>SUM(D8:E8)</x:f>
        <x:v>26</x:v>
      </x:c>
      <x:c r="G8" s="11" t="str">
        <x:v>예산견적</x:v>
      </x:c>
    </x:row>
    <x:row r="9" ht="36" customHeight="1">
      <x:c r="A9" s="10" t="str">
        <x:v>N02-PO04</x:v>
      </x:c>
      <x:c r="B9" s="10" t="str">
        <x:v>전력설비</x:v>
      </x:c>
      <x:c r="C9" s="10" t="str">
        <x:v>가상공급사 D</x:v>
      </x:c>
      <x:c r="D9" s="10" t="n">
        <x:v>26</x:v>
      </x:c>
      <x:c r="E9" s="10" t="n">
        <x:v>2</x:v>
      </x:c>
      <x:c r="F9" s="10" t="n">
        <x:f>SUM(D9:E9)</x:f>
        <x:v>28</x:v>
      </x:c>
      <x:c r="G9" s="10" t="str">
        <x:v>예산견적</x:v>
      </x:c>
    </x:row>
    <x:row r="10" ht="36" customHeight="1">
      <x:c r="A10" s="11" t="str">
        <x:v>N02-PO05</x:v>
      </x:c>
      <x:c r="B10" s="11" t="str">
        <x:v>처리설비</x:v>
      </x:c>
      <x:c r="C10" s="11" t="str">
        <x:v>가상공급사 E</x:v>
      </x:c>
      <x:c r="D10" s="11" t="n">
        <x:v>30</x:v>
      </x:c>
      <x:c r="E10" s="11" t="n">
        <x:v>3</x:v>
      </x:c>
      <x:c r="F10" s="11" t="n">
        <x:f>SUM(D10:E10)</x:f>
        <x:v>33</x:v>
      </x:c>
      <x:c r="G10" s="11" t="str">
        <x:v>예산견적</x:v>
      </x:c>
    </x:row>
    <x:row r="11" ht="36" customHeight="1">
      <x:c r="A11" s="10" t="str">
        <x:v>N02-PO06</x:v>
      </x:c>
      <x:c r="B11" s="10" t="str">
        <x:v>예비품</x:v>
      </x:c>
      <x:c r="C11" s="10" t="str">
        <x:v>가상공급사 F</x:v>
      </x:c>
      <x:c r="D11" s="10" t="n">
        <x:v>34</x:v>
      </x:c>
      <x:c r="E11" s="10" t="n">
        <x:v>4</x:v>
      </x:c>
      <x:c r="F11" s="10" t="n">
        <x:f>SUM(D11:E11)</x:f>
        <x:v>38</x:v>
      </x:c>
      <x:c r="G11" s="10" t="str">
        <x:v>예산견적</x:v>
      </x:c>
    </x:row>
  </x:sheetData>
  <x:pageMargins left="0.7" right="0.7" top="0.75" bottom="0.75" header="0.3" footer="0.3"/>
  <x:tableParts count="1">
    <x:tablePart xmlns:r="http://schemas.openxmlformats.org/officeDocument/2006/relationships" r:id="R08336ce702314847"/>
  </x:tableParts>
</x:worksheet>
</file>